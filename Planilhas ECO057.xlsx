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cbookair/Desktop/Aulas 2S2026/"/>
    </mc:Choice>
  </mc:AlternateContent>
  <xr:revisionPtr revIDLastSave="0" documentId="13_ncr:1_{CE0D55D5-D2A6-DE4B-9C1A-FDEE481713B1}" xr6:coauthVersionLast="36" xr6:coauthVersionMax="36" xr10:uidLastSave="{00000000-0000-0000-0000-000000000000}"/>
  <bookViews>
    <workbookView xWindow="0" yWindow="0" windowWidth="25600" windowHeight="16000" firstSheet="5" activeTab="9" xr2:uid="{00000000-000D-0000-FFFF-FFFF00000000}"/>
  </bookViews>
  <sheets>
    <sheet name="QUADRO" sheetId="30" r:id="rId1"/>
    <sheet name="AV AH Indices" sheetId="7" r:id="rId2"/>
    <sheet name="GAO" sheetId="12" r:id="rId3"/>
    <sheet name="GAF" sheetId="13" r:id="rId4"/>
    <sheet name="GAT" sheetId="14" r:id="rId5"/>
    <sheet name="Cálculo das NCG" sheetId="15" r:id="rId6"/>
    <sheet name="Ponto de equilíbrio" sheetId="8" r:id="rId7"/>
    <sheet name="Regras de Investimento" sheetId="18" r:id="rId8"/>
    <sheet name="Avaliação de Projetos" sheetId="19" r:id="rId9"/>
    <sheet name="FCFE-FCFF" sheetId="20" r:id="rId10"/>
    <sheet name="Custeamento" sheetId="9" r:id="rId11"/>
    <sheet name="Decisão sem restrição" sheetId="10" r:id="rId12"/>
    <sheet name="Decisão com restrição" sheetId="11" r:id="rId13"/>
  </sheets>
  <externalReferences>
    <externalReference r:id="rId14"/>
  </externalReferences>
  <definedNames>
    <definedName name="_cov12">'[1]Exercício Solver (CML)'!$C$29/100</definedName>
    <definedName name="_cov13">'[1]Exercício Solver (CML)'!$C$30/100</definedName>
    <definedName name="_cov14">'[1]Exercício Solver (CML)'!$C$31/100</definedName>
    <definedName name="_cov23">'[1]Exercício Solver (CML)'!$D$30/100</definedName>
    <definedName name="_cov24">'[1]Exercício Solver (CML)'!$D$31/100</definedName>
    <definedName name="_cov34">'[1]Exercício Solver (CML)'!$E$31/100</definedName>
    <definedName name="inflList">"00000000000000000000000000000000000000000000000000000000000000000000000000000000000000000000000000000000000000000000000000000000000000000000000000000000000000000000000000000000000000000000000000000000"</definedName>
    <definedName name="peso1">'[1]Exercício Solver (CML)'!$B$36</definedName>
    <definedName name="peso2">'[1]Exercício Solver (CML)'!$B$37</definedName>
    <definedName name="peso3">'[1]Exercício Solver (CML)'!$B$38</definedName>
    <definedName name="peso4">'[1]Exercício Solver (CML)'!$B$39</definedName>
    <definedName name="PtreeMacrosConverted">TRUE</definedName>
    <definedName name="Retorno_da_carteira">'[1]Exercício Solver (CML)'!$B$33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vari1">'[1]Exercício Solver (CML)'!$C$27/100</definedName>
    <definedName name="vari2">'[1]Exercício Solver (CML)'!$D$27/100</definedName>
    <definedName name="vari3">'[1]Exercício Solver (CML)'!$E$27/100</definedName>
    <definedName name="vari4">'[1]Exercício Solver (CML)'!$F$27/100</definedName>
  </definedNames>
  <calcPr calcId="181029"/>
</workbook>
</file>

<file path=xl/calcChain.xml><?xml version="1.0" encoding="utf-8"?>
<calcChain xmlns="http://schemas.openxmlformats.org/spreadsheetml/2006/main">
  <c r="C33" i="20" l="1"/>
  <c r="B34" i="20"/>
  <c r="B32" i="20"/>
  <c r="B31" i="20"/>
  <c r="E29" i="20"/>
  <c r="E28" i="20"/>
  <c r="J14" i="20"/>
  <c r="I14" i="20"/>
  <c r="H14" i="20"/>
  <c r="J39" i="8"/>
  <c r="E76" i="18" l="1"/>
  <c r="E77" i="18"/>
  <c r="E78" i="18"/>
  <c r="D78" i="18"/>
  <c r="D77" i="18"/>
  <c r="C62" i="18"/>
  <c r="C78" i="18"/>
  <c r="C61" i="18"/>
  <c r="D63" i="18"/>
  <c r="D62" i="18"/>
  <c r="B70" i="18"/>
  <c r="C70" i="18" s="1"/>
  <c r="C63" i="18"/>
  <c r="F51" i="18"/>
  <c r="F50" i="18"/>
  <c r="F49" i="18"/>
  <c r="F48" i="18"/>
  <c r="F47" i="18"/>
  <c r="F44" i="18"/>
  <c r="F46" i="18" s="1"/>
  <c r="E37" i="18"/>
  <c r="D37" i="18"/>
  <c r="E27" i="18"/>
  <c r="D27" i="18"/>
  <c r="C27" i="18"/>
  <c r="F31" i="18"/>
  <c r="E31" i="18"/>
  <c r="D31" i="18"/>
  <c r="C31" i="18"/>
  <c r="H31" i="18"/>
  <c r="C32" i="18" s="1"/>
  <c r="D32" i="18" s="1"/>
  <c r="H27" i="18"/>
  <c r="C28" i="18" s="1"/>
  <c r="D28" i="18" s="1"/>
  <c r="J1" i="18"/>
  <c r="B8" i="18"/>
  <c r="F8" i="18"/>
  <c r="B6" i="18"/>
  <c r="C19" i="30"/>
  <c r="C20" i="30"/>
  <c r="E3" i="30"/>
  <c r="F10" i="30"/>
  <c r="B66" i="30"/>
  <c r="C69" i="30"/>
  <c r="B65" i="30"/>
  <c r="C68" i="30"/>
  <c r="E56" i="30"/>
  <c r="E55" i="30"/>
  <c r="C56" i="30"/>
  <c r="C55" i="30"/>
  <c r="C58" i="30"/>
  <c r="E57" i="30"/>
  <c r="C57" i="30"/>
  <c r="D59" i="30"/>
  <c r="D54" i="30"/>
  <c r="D58" i="30"/>
  <c r="B54" i="30"/>
  <c r="B61" i="30"/>
  <c r="B50" i="30"/>
  <c r="B47" i="30"/>
  <c r="C45" i="30"/>
  <c r="D45" i="30"/>
  <c r="B45" i="30"/>
  <c r="E43" i="30"/>
  <c r="E42" i="30"/>
  <c r="D43" i="30"/>
  <c r="D42" i="30"/>
  <c r="A21" i="30"/>
  <c r="C18" i="30"/>
  <c r="C17" i="30"/>
  <c r="H8" i="30"/>
  <c r="C6" i="30"/>
  <c r="C5" i="30"/>
  <c r="G14" i="20"/>
  <c r="G15" i="20"/>
  <c r="H15" i="20"/>
  <c r="I15" i="20"/>
  <c r="G16" i="20"/>
  <c r="H16" i="20"/>
  <c r="I16" i="20"/>
  <c r="G17" i="20"/>
  <c r="H17" i="20"/>
  <c r="I17" i="20"/>
  <c r="G18" i="20"/>
  <c r="H18" i="20"/>
  <c r="I18" i="20"/>
  <c r="J15" i="20"/>
  <c r="J16" i="20"/>
  <c r="J17" i="20"/>
  <c r="J18" i="20"/>
  <c r="E9" i="20"/>
  <c r="D9" i="20"/>
  <c r="C9" i="20"/>
  <c r="A9" i="20"/>
  <c r="A5" i="20"/>
  <c r="C38" i="19"/>
  <c r="C42" i="19"/>
  <c r="C32" i="19"/>
  <c r="C45" i="19"/>
  <c r="C35" i="19"/>
  <c r="D40" i="19"/>
  <c r="D44" i="19"/>
  <c r="D42" i="19"/>
  <c r="D32" i="19"/>
  <c r="D33" i="19"/>
  <c r="E44" i="19"/>
  <c r="E42" i="19"/>
  <c r="B36" i="19"/>
  <c r="B37" i="19"/>
  <c r="B51" i="19"/>
  <c r="C33" i="19"/>
  <c r="B33" i="19"/>
  <c r="E38" i="18"/>
  <c r="F38" i="18" s="1"/>
  <c r="E40" i="18"/>
  <c r="D40" i="18"/>
  <c r="E39" i="18"/>
  <c r="D39" i="18"/>
  <c r="D38" i="18"/>
  <c r="F37" i="18"/>
  <c r="I31" i="18"/>
  <c r="G31" i="18"/>
  <c r="F27" i="18"/>
  <c r="J23" i="18"/>
  <c r="I23" i="18"/>
  <c r="H23" i="18"/>
  <c r="G23" i="18"/>
  <c r="F23" i="18"/>
  <c r="J22" i="18"/>
  <c r="I22" i="18"/>
  <c r="H22" i="18"/>
  <c r="G22" i="18"/>
  <c r="F22" i="18"/>
  <c r="B18" i="18"/>
  <c r="C18" i="18"/>
  <c r="D18" i="18"/>
  <c r="E17" i="18"/>
  <c r="D17" i="18"/>
  <c r="E16" i="18"/>
  <c r="D16" i="18"/>
  <c r="F12" i="18"/>
  <c r="E12" i="18"/>
  <c r="G5" i="18"/>
  <c r="B23" i="15"/>
  <c r="B31" i="15"/>
  <c r="B26" i="15"/>
  <c r="B34" i="15"/>
  <c r="B11" i="15"/>
  <c r="B5" i="15"/>
  <c r="B6" i="15"/>
  <c r="B14" i="15"/>
  <c r="B24" i="15"/>
  <c r="B4" i="15"/>
  <c r="F45" i="14"/>
  <c r="F32" i="14"/>
  <c r="E45" i="14"/>
  <c r="E32" i="14"/>
  <c r="E46" i="14"/>
  <c r="D45" i="14"/>
  <c r="D32" i="14"/>
  <c r="C45" i="14"/>
  <c r="C32" i="14"/>
  <c r="E44" i="14"/>
  <c r="F28" i="14"/>
  <c r="F29" i="14"/>
  <c r="F31" i="14"/>
  <c r="E28" i="14"/>
  <c r="E29" i="14"/>
  <c r="E31" i="14"/>
  <c r="E33" i="14"/>
  <c r="E34" i="14"/>
  <c r="F39" i="14"/>
  <c r="D28" i="14"/>
  <c r="D29" i="14"/>
  <c r="D31" i="14"/>
  <c r="E39" i="14"/>
  <c r="C28" i="14"/>
  <c r="C31" i="14"/>
  <c r="C29" i="14"/>
  <c r="C33" i="14"/>
  <c r="D39" i="14"/>
  <c r="B28" i="14"/>
  <c r="B31" i="14"/>
  <c r="B33" i="14"/>
  <c r="B29" i="14"/>
  <c r="B32" i="14"/>
  <c r="C39" i="14"/>
  <c r="B39" i="14"/>
  <c r="F22" i="14"/>
  <c r="F9" i="14"/>
  <c r="F23" i="14"/>
  <c r="E22" i="14"/>
  <c r="E9" i="14"/>
  <c r="E23" i="14"/>
  <c r="D22" i="14"/>
  <c r="D9" i="14"/>
  <c r="D23" i="14"/>
  <c r="C22" i="14"/>
  <c r="C9" i="14"/>
  <c r="C23" i="14"/>
  <c r="F21" i="14"/>
  <c r="E21" i="14"/>
  <c r="F5" i="14"/>
  <c r="F8" i="14"/>
  <c r="F10" i="14"/>
  <c r="F6" i="14"/>
  <c r="E5" i="14"/>
  <c r="E8" i="14"/>
  <c r="E10" i="14"/>
  <c r="E6" i="14"/>
  <c r="E11" i="14"/>
  <c r="F16" i="14"/>
  <c r="D5" i="14"/>
  <c r="D6" i="14"/>
  <c r="D8" i="14"/>
  <c r="D10" i="14"/>
  <c r="D11" i="14"/>
  <c r="E16" i="14"/>
  <c r="C5" i="14"/>
  <c r="C6" i="14"/>
  <c r="C8" i="14"/>
  <c r="C10" i="14"/>
  <c r="D16" i="14"/>
  <c r="B5" i="14"/>
  <c r="B8" i="14"/>
  <c r="B6" i="14"/>
  <c r="B9" i="14"/>
  <c r="C16" i="14"/>
  <c r="B16" i="14"/>
  <c r="F29" i="13"/>
  <c r="F39" i="13"/>
  <c r="E29" i="13"/>
  <c r="E39" i="13"/>
  <c r="D29" i="13"/>
  <c r="D39" i="13"/>
  <c r="C29" i="13"/>
  <c r="C39" i="13"/>
  <c r="F25" i="13"/>
  <c r="F28" i="13"/>
  <c r="F26" i="13"/>
  <c r="F30" i="13"/>
  <c r="E25" i="13"/>
  <c r="E28" i="13"/>
  <c r="E26" i="13"/>
  <c r="D25" i="13"/>
  <c r="D26" i="13"/>
  <c r="D28" i="13"/>
  <c r="D30" i="13"/>
  <c r="C25" i="13"/>
  <c r="C28" i="13"/>
  <c r="C26" i="13"/>
  <c r="B25" i="13"/>
  <c r="B26" i="13"/>
  <c r="B28" i="13"/>
  <c r="B30" i="13"/>
  <c r="B31" i="13"/>
  <c r="B29" i="13"/>
  <c r="B32" i="13"/>
  <c r="B33" i="13"/>
  <c r="F9" i="13"/>
  <c r="F21" i="13"/>
  <c r="F13" i="13"/>
  <c r="E9" i="13"/>
  <c r="E21" i="13"/>
  <c r="E13" i="13"/>
  <c r="D9" i="13"/>
  <c r="D13" i="13"/>
  <c r="D21" i="13"/>
  <c r="C9" i="13"/>
  <c r="C13" i="13"/>
  <c r="C21" i="13"/>
  <c r="F5" i="13"/>
  <c r="F8" i="13"/>
  <c r="F6" i="13"/>
  <c r="E5" i="13"/>
  <c r="E8" i="13"/>
  <c r="E6" i="13"/>
  <c r="D5" i="13"/>
  <c r="D8" i="13"/>
  <c r="D10" i="13"/>
  <c r="D6" i="13"/>
  <c r="C5" i="13"/>
  <c r="C6" i="13"/>
  <c r="C8" i="13"/>
  <c r="B5" i="13"/>
  <c r="B6" i="13"/>
  <c r="B8" i="13"/>
  <c r="B9" i="13"/>
  <c r="B13" i="13"/>
  <c r="F35" i="12"/>
  <c r="E35" i="12"/>
  <c r="D35" i="12"/>
  <c r="C35" i="12"/>
  <c r="F26" i="12"/>
  <c r="F27" i="12"/>
  <c r="F29" i="12"/>
  <c r="E26" i="12"/>
  <c r="E27" i="12"/>
  <c r="E29" i="12"/>
  <c r="F30" i="12"/>
  <c r="D26" i="12"/>
  <c r="D29" i="12"/>
  <c r="D31" i="12"/>
  <c r="C34" i="12"/>
  <c r="D27" i="12"/>
  <c r="E30" i="12"/>
  <c r="C26" i="12"/>
  <c r="C27" i="12"/>
  <c r="C29" i="12"/>
  <c r="D30" i="12"/>
  <c r="B26" i="12"/>
  <c r="B27" i="12"/>
  <c r="C30" i="12"/>
  <c r="B20" i="12"/>
  <c r="B19" i="12"/>
  <c r="B18" i="12"/>
  <c r="B17" i="12"/>
  <c r="F14" i="12"/>
  <c r="E14" i="12"/>
  <c r="D14" i="12"/>
  <c r="C14" i="12"/>
  <c r="F5" i="12"/>
  <c r="F6" i="12"/>
  <c r="F8" i="12"/>
  <c r="F10" i="12"/>
  <c r="E13" i="12"/>
  <c r="E5" i="12"/>
  <c r="E8" i="12"/>
  <c r="E6" i="12"/>
  <c r="F9" i="12"/>
  <c r="D5" i="12"/>
  <c r="D6" i="12"/>
  <c r="D8" i="12"/>
  <c r="D10" i="12"/>
  <c r="C13" i="12"/>
  <c r="E9" i="12"/>
  <c r="C5" i="12"/>
  <c r="C8" i="12"/>
  <c r="C6" i="12"/>
  <c r="D9" i="12"/>
  <c r="B5" i="12"/>
  <c r="B6" i="12"/>
  <c r="B8" i="12"/>
  <c r="B10" i="12"/>
  <c r="C9" i="12"/>
  <c r="B9" i="12"/>
  <c r="B39" i="11"/>
  <c r="B40" i="11"/>
  <c r="B41" i="11"/>
  <c r="B42" i="11"/>
  <c r="B43" i="11"/>
  <c r="B32" i="11"/>
  <c r="B33" i="11"/>
  <c r="B34" i="11"/>
  <c r="B36" i="11"/>
  <c r="B35" i="11"/>
  <c r="B25" i="11"/>
  <c r="B26" i="11"/>
  <c r="B29" i="11"/>
  <c r="B27" i="11"/>
  <c r="B28" i="11"/>
  <c r="D6" i="11"/>
  <c r="D7" i="11"/>
  <c r="D8" i="11"/>
  <c r="D9" i="11"/>
  <c r="D10" i="11"/>
  <c r="B11" i="11"/>
  <c r="M10" i="11"/>
  <c r="N10" i="11"/>
  <c r="I10" i="11"/>
  <c r="J10" i="11"/>
  <c r="L10" i="11"/>
  <c r="K10" i="11"/>
  <c r="M9" i="11"/>
  <c r="N9" i="11"/>
  <c r="I9" i="11"/>
  <c r="J9" i="11"/>
  <c r="M8" i="11"/>
  <c r="N8" i="11"/>
  <c r="I8" i="11"/>
  <c r="J8" i="11"/>
  <c r="L8" i="11"/>
  <c r="M7" i="11"/>
  <c r="N7" i="11"/>
  <c r="I7" i="11"/>
  <c r="J7" i="11"/>
  <c r="M6" i="11"/>
  <c r="N6" i="11"/>
  <c r="I6" i="11"/>
  <c r="J6" i="11"/>
  <c r="L6" i="11"/>
  <c r="K6" i="11"/>
  <c r="E65" i="10"/>
  <c r="E66" i="10"/>
  <c r="E64" i="10"/>
  <c r="E68" i="10"/>
  <c r="E51" i="10"/>
  <c r="E52" i="10"/>
  <c r="E54" i="10"/>
  <c r="E50" i="10"/>
  <c r="E38" i="10"/>
  <c r="E15" i="10"/>
  <c r="E17" i="10"/>
  <c r="E18" i="10"/>
  <c r="E19" i="10"/>
  <c r="E30" i="10"/>
  <c r="F24" i="10"/>
  <c r="F25" i="10"/>
  <c r="F26" i="10"/>
  <c r="G26" i="10"/>
  <c r="H26" i="10"/>
  <c r="B75" i="9"/>
  <c r="B76" i="9"/>
  <c r="B105" i="9"/>
  <c r="B131" i="9"/>
  <c r="B77" i="9"/>
  <c r="B106" i="9"/>
  <c r="B132" i="9"/>
  <c r="C75" i="9"/>
  <c r="C76" i="9"/>
  <c r="C77" i="9"/>
  <c r="C82" i="9"/>
  <c r="D75" i="9"/>
  <c r="D76" i="9"/>
  <c r="D77" i="9"/>
  <c r="D106" i="9"/>
  <c r="D82" i="9"/>
  <c r="E76" i="9"/>
  <c r="E77" i="9"/>
  <c r="E82" i="9"/>
  <c r="E78" i="9"/>
  <c r="E79" i="9"/>
  <c r="E80" i="9"/>
  <c r="E81" i="9"/>
  <c r="F81" i="9"/>
  <c r="C104" i="9"/>
  <c r="C105" i="9"/>
  <c r="C106" i="9"/>
  <c r="C132" i="9"/>
  <c r="D104" i="9"/>
  <c r="D105" i="9"/>
  <c r="B33" i="9"/>
  <c r="B36" i="9"/>
  <c r="B42" i="9"/>
  <c r="D131" i="9"/>
  <c r="D132" i="9"/>
  <c r="C130" i="9"/>
  <c r="C131" i="9"/>
  <c r="B148" i="9"/>
  <c r="F80" i="9"/>
  <c r="F79" i="9"/>
  <c r="F78" i="9"/>
  <c r="F76" i="9"/>
  <c r="B64" i="9"/>
  <c r="B68" i="9"/>
  <c r="B56" i="9"/>
  <c r="B60" i="9"/>
  <c r="B52" i="9"/>
  <c r="B30" i="9"/>
  <c r="B20" i="9"/>
  <c r="C15" i="8"/>
  <c r="D15" i="8"/>
  <c r="C14" i="8"/>
  <c r="G14" i="8"/>
  <c r="D14" i="8"/>
  <c r="C13" i="8"/>
  <c r="G13" i="8"/>
  <c r="D13" i="8"/>
  <c r="C12" i="8"/>
  <c r="D12" i="8"/>
  <c r="G12" i="8"/>
  <c r="H12" i="8"/>
  <c r="J12" i="8"/>
  <c r="K12" i="8"/>
  <c r="C92" i="7"/>
  <c r="C93" i="7"/>
  <c r="C94" i="7"/>
  <c r="C95" i="7"/>
  <c r="B92" i="7"/>
  <c r="B93" i="7"/>
  <c r="B94" i="7"/>
  <c r="B95" i="7"/>
  <c r="C90" i="7"/>
  <c r="B90" i="7"/>
  <c r="C86" i="7"/>
  <c r="C88" i="7"/>
  <c r="C87" i="7"/>
  <c r="B86" i="7"/>
  <c r="B87" i="7"/>
  <c r="B88" i="7"/>
  <c r="C85" i="7"/>
  <c r="B85" i="7"/>
  <c r="C84" i="7"/>
  <c r="B84" i="7"/>
  <c r="C83" i="7"/>
  <c r="B83" i="7"/>
  <c r="C81" i="7"/>
  <c r="B81" i="7"/>
  <c r="C80" i="7"/>
  <c r="B80" i="7"/>
  <c r="C75" i="7"/>
  <c r="C74" i="7"/>
  <c r="C79" i="7"/>
  <c r="C76" i="7"/>
  <c r="B75" i="7"/>
  <c r="B74" i="7"/>
  <c r="B79" i="7"/>
  <c r="B76" i="7"/>
  <c r="C77" i="7"/>
  <c r="B77" i="7"/>
  <c r="F72" i="7"/>
  <c r="E72" i="7"/>
  <c r="D72" i="7"/>
  <c r="F71" i="7"/>
  <c r="E71" i="7"/>
  <c r="D71" i="7"/>
  <c r="F70" i="7"/>
  <c r="E70" i="7"/>
  <c r="D70" i="7"/>
  <c r="F69" i="7"/>
  <c r="E69" i="7"/>
  <c r="D69" i="7"/>
  <c r="F68" i="7"/>
  <c r="E68" i="7"/>
  <c r="D68" i="7"/>
  <c r="F67" i="7"/>
  <c r="E67" i="7"/>
  <c r="D67" i="7"/>
  <c r="F66" i="7"/>
  <c r="E66" i="7"/>
  <c r="D66" i="7"/>
  <c r="F65" i="7"/>
  <c r="E65" i="7"/>
  <c r="D65" i="7"/>
  <c r="F64" i="7"/>
  <c r="E64" i="7"/>
  <c r="D64" i="7"/>
  <c r="F63" i="7"/>
  <c r="E63" i="7"/>
  <c r="D63" i="7"/>
  <c r="F62" i="7"/>
  <c r="E62" i="7"/>
  <c r="D62" i="7"/>
  <c r="F61" i="7"/>
  <c r="E61" i="7"/>
  <c r="D61" i="7"/>
  <c r="F60" i="7"/>
  <c r="E60" i="7"/>
  <c r="D60" i="7"/>
  <c r="F59" i="7"/>
  <c r="E59" i="7"/>
  <c r="D59" i="7"/>
  <c r="F58" i="7"/>
  <c r="E58" i="7"/>
  <c r="D58" i="7"/>
  <c r="F57" i="7"/>
  <c r="E57" i="7"/>
  <c r="D57" i="7"/>
  <c r="F56" i="7"/>
  <c r="E56" i="7"/>
  <c r="D56" i="7"/>
  <c r="F55" i="7"/>
  <c r="E55" i="7"/>
  <c r="D55" i="7"/>
  <c r="F54" i="7"/>
  <c r="E54" i="7"/>
  <c r="D54" i="7"/>
  <c r="F53" i="7"/>
  <c r="E53" i="7"/>
  <c r="D53" i="7"/>
  <c r="F50" i="7"/>
  <c r="E50" i="7"/>
  <c r="D50" i="7"/>
  <c r="F49" i="7"/>
  <c r="E49" i="7"/>
  <c r="D49" i="7"/>
  <c r="F48" i="7"/>
  <c r="E48" i="7"/>
  <c r="D48" i="7"/>
  <c r="F47" i="7"/>
  <c r="E47" i="7"/>
  <c r="D47" i="7"/>
  <c r="F46" i="7"/>
  <c r="E46" i="7"/>
  <c r="D46" i="7"/>
  <c r="F45" i="7"/>
  <c r="E45" i="7"/>
  <c r="D45" i="7"/>
  <c r="F44" i="7"/>
  <c r="E44" i="7"/>
  <c r="D44" i="7"/>
  <c r="F43" i="7"/>
  <c r="E43" i="7"/>
  <c r="D43" i="7"/>
  <c r="F42" i="7"/>
  <c r="E42" i="7"/>
  <c r="D42" i="7"/>
  <c r="F41" i="7"/>
  <c r="E41" i="7"/>
  <c r="D41" i="7"/>
  <c r="F40" i="7"/>
  <c r="E40" i="7"/>
  <c r="D40" i="7"/>
  <c r="F39" i="7"/>
  <c r="E39" i="7"/>
  <c r="D39" i="7"/>
  <c r="F38" i="7"/>
  <c r="E38" i="7"/>
  <c r="D38" i="7"/>
  <c r="F37" i="7"/>
  <c r="E37" i="7"/>
  <c r="D37" i="7"/>
  <c r="F36" i="7"/>
  <c r="E36" i="7"/>
  <c r="D36" i="7"/>
  <c r="F35" i="7"/>
  <c r="E35" i="7"/>
  <c r="D35" i="7"/>
  <c r="F34" i="7"/>
  <c r="E34" i="7"/>
  <c r="D34" i="7"/>
  <c r="F33" i="7"/>
  <c r="E33" i="7"/>
  <c r="D33" i="7"/>
  <c r="F29" i="7"/>
  <c r="E29" i="7"/>
  <c r="D29" i="7"/>
  <c r="F28" i="7"/>
  <c r="E28" i="7"/>
  <c r="D28" i="7"/>
  <c r="F27" i="7"/>
  <c r="E27" i="7"/>
  <c r="D27" i="7"/>
  <c r="F26" i="7"/>
  <c r="E26" i="7"/>
  <c r="D26" i="7"/>
  <c r="F25" i="7"/>
  <c r="E25" i="7"/>
  <c r="D25" i="7"/>
  <c r="F24" i="7"/>
  <c r="E24" i="7"/>
  <c r="D24" i="7"/>
  <c r="F23" i="7"/>
  <c r="E23" i="7"/>
  <c r="D23" i="7"/>
  <c r="F22" i="7"/>
  <c r="E22" i="7"/>
  <c r="D22" i="7"/>
  <c r="F21" i="7"/>
  <c r="E21" i="7"/>
  <c r="D21" i="7"/>
  <c r="F20" i="7"/>
  <c r="E20" i="7"/>
  <c r="D20" i="7"/>
  <c r="F19" i="7"/>
  <c r="E19" i="7"/>
  <c r="D19" i="7"/>
  <c r="F18" i="7"/>
  <c r="E18" i="7"/>
  <c r="D18" i="7"/>
  <c r="F17" i="7"/>
  <c r="E17" i="7"/>
  <c r="D17" i="7"/>
  <c r="F16" i="7"/>
  <c r="E16" i="7"/>
  <c r="D16" i="7"/>
  <c r="F15" i="7"/>
  <c r="E15" i="7"/>
  <c r="D15" i="7"/>
  <c r="F14" i="7"/>
  <c r="E14" i="7"/>
  <c r="D14" i="7"/>
  <c r="F13" i="7"/>
  <c r="E13" i="7"/>
  <c r="D13" i="7"/>
  <c r="F12" i="7"/>
  <c r="E12" i="7"/>
  <c r="D12" i="7"/>
  <c r="F11" i="7"/>
  <c r="E11" i="7"/>
  <c r="D11" i="7"/>
  <c r="F10" i="7"/>
  <c r="E10" i="7"/>
  <c r="D10" i="7"/>
  <c r="F9" i="7"/>
  <c r="E9" i="7"/>
  <c r="D9" i="7"/>
  <c r="F8" i="7"/>
  <c r="E8" i="7"/>
  <c r="D8" i="7"/>
  <c r="F7" i="7"/>
  <c r="E7" i="7"/>
  <c r="D7" i="7"/>
  <c r="F6" i="7"/>
  <c r="E6" i="7"/>
  <c r="D6" i="7"/>
  <c r="C70" i="30"/>
  <c r="B59" i="30"/>
  <c r="D61" i="30"/>
  <c r="B58" i="30"/>
  <c r="D60" i="30"/>
  <c r="B60" i="30"/>
  <c r="E58" i="30"/>
  <c r="H13" i="8"/>
  <c r="J13" i="8"/>
  <c r="K13" i="8"/>
  <c r="B34" i="14"/>
  <c r="B35" i="14"/>
  <c r="B37" i="14"/>
  <c r="B38" i="14"/>
  <c r="H14" i="8"/>
  <c r="J14" i="8"/>
  <c r="K14" i="8"/>
  <c r="L7" i="11"/>
  <c r="K7" i="11"/>
  <c r="E34" i="13"/>
  <c r="E30" i="13"/>
  <c r="G15" i="8"/>
  <c r="F77" i="9"/>
  <c r="B30" i="12"/>
  <c r="B29" i="12"/>
  <c r="B31" i="12"/>
  <c r="F31" i="12"/>
  <c r="E34" i="12"/>
  <c r="E16" i="13"/>
  <c r="F16" i="13"/>
  <c r="D34" i="13"/>
  <c r="F34" i="13"/>
  <c r="F31" i="13"/>
  <c r="F32" i="13"/>
  <c r="F33" i="13"/>
  <c r="C24" i="14"/>
  <c r="E24" i="14"/>
  <c r="C34" i="14"/>
  <c r="C35" i="14"/>
  <c r="C37" i="14"/>
  <c r="C38" i="14"/>
  <c r="D47" i="14"/>
  <c r="F47" i="14"/>
  <c r="C16" i="13"/>
  <c r="C10" i="13"/>
  <c r="C30" i="13"/>
  <c r="C34" i="13"/>
  <c r="D46" i="14"/>
  <c r="D44" i="14"/>
  <c r="B104" i="9"/>
  <c r="B82" i="9"/>
  <c r="B90" i="9"/>
  <c r="B97" i="9"/>
  <c r="C107" i="9"/>
  <c r="E31" i="10"/>
  <c r="E32" i="10"/>
  <c r="E39" i="10"/>
  <c r="E40" i="10"/>
  <c r="E31" i="12"/>
  <c r="D34" i="12"/>
  <c r="D16" i="13"/>
  <c r="D31" i="13"/>
  <c r="D32" i="13"/>
  <c r="D33" i="13"/>
  <c r="E12" i="14"/>
  <c r="E14" i="14"/>
  <c r="E15" i="14"/>
  <c r="E17" i="14"/>
  <c r="D20" i="14"/>
  <c r="C46" i="14"/>
  <c r="C44" i="14"/>
  <c r="I12" i="8"/>
  <c r="F46" i="14"/>
  <c r="F44" i="14"/>
  <c r="F75" i="9"/>
  <c r="D130" i="9"/>
  <c r="K8" i="11"/>
  <c r="L9" i="11"/>
  <c r="K9" i="11"/>
  <c r="D11" i="11"/>
  <c r="E10" i="12"/>
  <c r="D13" i="12"/>
  <c r="B10" i="13"/>
  <c r="B16" i="13"/>
  <c r="D11" i="13"/>
  <c r="D12" i="13"/>
  <c r="D14" i="13"/>
  <c r="D15" i="13"/>
  <c r="E10" i="13"/>
  <c r="F10" i="13"/>
  <c r="B34" i="13"/>
  <c r="B10" i="14"/>
  <c r="C11" i="14"/>
  <c r="C12" i="14"/>
  <c r="C14" i="14"/>
  <c r="C15" i="14"/>
  <c r="D12" i="14"/>
  <c r="D14" i="14"/>
  <c r="D15" i="14"/>
  <c r="F11" i="14"/>
  <c r="F12" i="14"/>
  <c r="F14" i="14"/>
  <c r="F15" i="14"/>
  <c r="F17" i="14"/>
  <c r="E20" i="14"/>
  <c r="D24" i="14"/>
  <c r="F24" i="14"/>
  <c r="D33" i="14"/>
  <c r="E35" i="14"/>
  <c r="E37" i="14"/>
  <c r="E38" i="14"/>
  <c r="F33" i="14"/>
  <c r="C47" i="14"/>
  <c r="E47" i="14"/>
  <c r="B13" i="15"/>
  <c r="B12" i="15"/>
  <c r="B16" i="15"/>
  <c r="B19" i="15"/>
  <c r="B15" i="15"/>
  <c r="C21" i="14"/>
  <c r="B25" i="15"/>
  <c r="D21" i="14"/>
  <c r="F44" i="19"/>
  <c r="C36" i="19"/>
  <c r="C37" i="19"/>
  <c r="D38" i="19"/>
  <c r="D35" i="19"/>
  <c r="E40" i="19"/>
  <c r="C46" i="19"/>
  <c r="D45" i="19"/>
  <c r="E32" i="19"/>
  <c r="D36" i="19"/>
  <c r="D37" i="19"/>
  <c r="C133" i="9"/>
  <c r="C108" i="9"/>
  <c r="F42" i="19"/>
  <c r="G44" i="19"/>
  <c r="G42" i="19"/>
  <c r="F11" i="13"/>
  <c r="F12" i="13"/>
  <c r="F14" i="13"/>
  <c r="F15" i="13"/>
  <c r="E32" i="13"/>
  <c r="E33" i="13"/>
  <c r="E35" i="13"/>
  <c r="D38" i="13"/>
  <c r="E31" i="13"/>
  <c r="C47" i="19"/>
  <c r="C50" i="19"/>
  <c r="C51" i="19"/>
  <c r="C48" i="19"/>
  <c r="F34" i="14"/>
  <c r="F35" i="14"/>
  <c r="F37" i="14"/>
  <c r="F38" i="14"/>
  <c r="F40" i="14"/>
  <c r="E43" i="14"/>
  <c r="E11" i="13"/>
  <c r="E12" i="13"/>
  <c r="E14" i="13"/>
  <c r="E15" i="13"/>
  <c r="E17" i="13"/>
  <c r="D20" i="13"/>
  <c r="B130" i="9"/>
  <c r="C11" i="13"/>
  <c r="C12" i="13"/>
  <c r="C14" i="13"/>
  <c r="C15" i="13"/>
  <c r="D17" i="13"/>
  <c r="C20" i="13"/>
  <c r="B40" i="14"/>
  <c r="B89" i="9"/>
  <c r="B83" i="9"/>
  <c r="F82" i="9"/>
  <c r="C31" i="13"/>
  <c r="C32" i="13"/>
  <c r="C33" i="13"/>
  <c r="F32" i="19"/>
  <c r="E33" i="19"/>
  <c r="E45" i="19"/>
  <c r="E38" i="19"/>
  <c r="F40" i="19"/>
  <c r="B33" i="15"/>
  <c r="B32" i="15"/>
  <c r="B35" i="15"/>
  <c r="E40" i="14"/>
  <c r="D43" i="14"/>
  <c r="B11" i="14"/>
  <c r="B12" i="14"/>
  <c r="B14" i="14"/>
  <c r="B15" i="14"/>
  <c r="B17" i="14"/>
  <c r="H15" i="8"/>
  <c r="J15" i="8"/>
  <c r="K15" i="8"/>
  <c r="I15" i="8"/>
  <c r="I14" i="8"/>
  <c r="I13" i="8"/>
  <c r="B11" i="13"/>
  <c r="B12" i="13"/>
  <c r="B14" i="13"/>
  <c r="B15" i="13"/>
  <c r="B17" i="13"/>
  <c r="D46" i="19"/>
  <c r="D41" i="19"/>
  <c r="B33" i="20"/>
  <c r="C32" i="20" s="1"/>
  <c r="D34" i="14"/>
  <c r="D35" i="14"/>
  <c r="D37" i="14"/>
  <c r="D38" i="14"/>
  <c r="D40" i="14"/>
  <c r="C43" i="14"/>
  <c r="D17" i="14"/>
  <c r="C20" i="14"/>
  <c r="B91" i="9"/>
  <c r="B98" i="9"/>
  <c r="D107" i="9"/>
  <c r="B35" i="13"/>
  <c r="D35" i="13"/>
  <c r="C38" i="13"/>
  <c r="D47" i="19"/>
  <c r="D50" i="19"/>
  <c r="D51" i="19"/>
  <c r="F17" i="13"/>
  <c r="E20" i="13"/>
  <c r="E46" i="19"/>
  <c r="E41" i="19"/>
  <c r="B36" i="15"/>
  <c r="B96" i="9"/>
  <c r="B88" i="9"/>
  <c r="D167" i="9"/>
  <c r="F35" i="13"/>
  <c r="E38" i="13"/>
  <c r="E35" i="19"/>
  <c r="D133" i="9"/>
  <c r="D108" i="9"/>
  <c r="F38" i="19"/>
  <c r="G40" i="19"/>
  <c r="G38" i="19"/>
  <c r="F33" i="19"/>
  <c r="F45" i="19"/>
  <c r="G32" i="19"/>
  <c r="F41" i="19"/>
  <c r="F46" i="19"/>
  <c r="F35" i="19"/>
  <c r="E36" i="19"/>
  <c r="E37" i="19"/>
  <c r="B40" i="15"/>
  <c r="B37" i="15"/>
  <c r="E47" i="19"/>
  <c r="E50" i="19"/>
  <c r="E48" i="19"/>
  <c r="G45" i="19"/>
  <c r="G33" i="19"/>
  <c r="G31" i="19"/>
  <c r="G46" i="19"/>
  <c r="G41" i="19"/>
  <c r="F167" i="9"/>
  <c r="B107" i="9"/>
  <c r="B99" i="9"/>
  <c r="D48" i="19"/>
  <c r="G47" i="19"/>
  <c r="G50" i="19"/>
  <c r="G48" i="19"/>
  <c r="F47" i="19"/>
  <c r="F50" i="19"/>
  <c r="F51" i="19"/>
  <c r="G36" i="19"/>
  <c r="F36" i="19"/>
  <c r="F37" i="19"/>
  <c r="G37" i="19"/>
  <c r="B133" i="9"/>
  <c r="B108" i="9"/>
  <c r="E51" i="19"/>
  <c r="B54" i="19"/>
  <c r="B55" i="19"/>
  <c r="D54" i="19"/>
  <c r="B52" i="19"/>
  <c r="B167" i="9"/>
  <c r="E108" i="9"/>
  <c r="F48" i="19"/>
  <c r="G51" i="19"/>
  <c r="B53" i="19"/>
  <c r="B116" i="9"/>
  <c r="B123" i="9"/>
  <c r="C134" i="9"/>
  <c r="B117" i="9"/>
  <c r="B124" i="9"/>
  <c r="D134" i="9"/>
  <c r="B115" i="9"/>
  <c r="B122" i="9"/>
  <c r="B114" i="9"/>
  <c r="F168" i="9"/>
  <c r="D135" i="9"/>
  <c r="B156" i="9"/>
  <c r="D168" i="9"/>
  <c r="C135" i="9"/>
  <c r="B155" i="9"/>
  <c r="D165" i="9"/>
  <c r="B160" i="9"/>
  <c r="E168" i="9"/>
  <c r="B134" i="9"/>
  <c r="B125" i="9"/>
  <c r="F165" i="9"/>
  <c r="B161" i="9"/>
  <c r="G168" i="9"/>
  <c r="F166" i="9"/>
  <c r="G166" i="9"/>
  <c r="G165" i="9"/>
  <c r="G167" i="9"/>
  <c r="B168" i="9"/>
  <c r="B135" i="9"/>
  <c r="D166" i="9"/>
  <c r="E166" i="9"/>
  <c r="E165" i="9"/>
  <c r="E167" i="9"/>
  <c r="E135" i="9"/>
  <c r="B154" i="9"/>
  <c r="D169" i="9"/>
  <c r="E169" i="9"/>
  <c r="F169" i="9"/>
  <c r="G169" i="9"/>
  <c r="B159" i="9"/>
  <c r="C159" i="9"/>
  <c r="B165" i="9"/>
  <c r="B166" i="9"/>
  <c r="C166" i="9"/>
  <c r="C165" i="9"/>
  <c r="C167" i="9"/>
  <c r="C168" i="9"/>
  <c r="B169" i="9"/>
  <c r="B170" i="9"/>
  <c r="C169" i="9"/>
  <c r="C31" i="20" l="1"/>
  <c r="I27" i="18"/>
  <c r="F40" i="18"/>
  <c r="D29" i="18"/>
  <c r="E28" i="18"/>
  <c r="E29" i="18" s="1"/>
  <c r="D33" i="18"/>
  <c r="E32" i="18"/>
  <c r="D76" i="18"/>
  <c r="C33" i="18"/>
  <c r="C29" i="18"/>
  <c r="F28" i="20" l="1"/>
  <c r="B29" i="18"/>
  <c r="B30" i="18"/>
  <c r="B33" i="18"/>
  <c r="E33" i="18"/>
  <c r="B34" i="18" s="1"/>
  <c r="F32" i="18"/>
  <c r="F33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Fernanda Perobelli</author>
  </authors>
  <commentList>
    <comment ref="B8" authorId="0" shapeId="0" xr:uid="{00000000-0006-0000-0A00-000001000000}">
      <text>
        <r>
          <rPr>
            <b/>
            <sz val="8"/>
            <color rgb="FF000000"/>
            <rFont val="Tahoma"/>
            <family val="2"/>
          </rPr>
          <t xml:space="preserve">Fernanda Perobelli:
</t>
        </r>
        <r>
          <rPr>
            <sz val="8"/>
            <color rgb="FF000000"/>
            <rFont val="Tahoma"/>
            <family val="2"/>
          </rPr>
          <t xml:space="preserve">Há 3 métodos de cálculo dos gastos:
</t>
        </r>
        <r>
          <rPr>
            <sz val="8"/>
            <color rgb="FF000000"/>
            <rFont val="Tahoma"/>
            <family val="2"/>
          </rPr>
          <t>PEPS, CM e UEPS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22" authorId="1" shapeId="0" xr:uid="{00000000-0006-0000-0A00-000002000000}">
      <text>
        <r>
          <rPr>
            <b/>
            <sz val="8"/>
            <color rgb="FF000000"/>
            <rFont val="Tahoma"/>
            <family val="2"/>
          </rPr>
          <t>Fernanda Perobelli: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Enquanto no Custeio por Absorção há separação entre Custos (diretos e indiretos, fixos ou variáveis) e Despesas pelo caráter de ligado ou não à produção, no Custeio Variável, a separação será pelo caráter variável (custo) ou fixo (despesa). 
</t>
        </r>
        <r>
          <rPr>
            <sz val="8"/>
            <color rgb="FF000000"/>
            <rFont val="Tahoma"/>
            <family val="2"/>
          </rPr>
          <t>Ex.: MOD é custo no Absorção e despesa no Variável</t>
        </r>
      </text>
    </comment>
    <comment ref="B23" authorId="1" shapeId="0" xr:uid="{00000000-0006-0000-0A00-000003000000}">
      <text>
        <r>
          <rPr>
            <b/>
            <sz val="8"/>
            <color rgb="FF000000"/>
            <rFont val="Tahoma"/>
            <family val="2"/>
          </rPr>
          <t>Fernanda Perobelli: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Esse gasto, bem como todos os outros custos fixos,  seria considerado Despesa no Custeio Variável.</t>
        </r>
      </text>
    </comment>
    <comment ref="B30" authorId="1" shapeId="0" xr:uid="{00000000-0006-0000-0A00-000004000000}">
      <text>
        <r>
          <rPr>
            <b/>
            <sz val="8"/>
            <color rgb="FF000000"/>
            <rFont val="Tahoma"/>
            <family val="2"/>
          </rPr>
          <t>Fernanda Perobelli: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Integrarão o custo dos produtos em Estoque no BP que, ao serem vendidos, serão lançados na conta CPV na DRE</t>
        </r>
      </text>
    </comment>
    <comment ref="B42" authorId="1" shapeId="0" xr:uid="{00000000-0006-0000-0A00-000005000000}">
      <text>
        <r>
          <rPr>
            <b/>
            <sz val="8"/>
            <color rgb="FF000000"/>
            <rFont val="Tahoma"/>
            <family val="2"/>
          </rPr>
          <t>Fernanda Perobelli: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Irão direto para as contas de Despesas na DRE de abril/09, impactando o lucro.</t>
        </r>
      </text>
    </comment>
    <comment ref="A46" authorId="1" shapeId="0" xr:uid="{00000000-0006-0000-0A00-000006000000}">
      <text>
        <r>
          <rPr>
            <b/>
            <sz val="8"/>
            <color rgb="FF000000"/>
            <rFont val="Tahoma"/>
            <family val="2"/>
          </rPr>
          <t>Fernanda Perobelli: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Para a matéria-prima, a empresa possui um sistema de requisição que permite apropriar os itens usados a cada produto.</t>
        </r>
      </text>
    </comment>
    <comment ref="A47" authorId="1" shapeId="0" xr:uid="{00000000-0006-0000-0A00-000007000000}">
      <text>
        <r>
          <rPr>
            <b/>
            <sz val="8"/>
            <color rgb="FF000000"/>
            <rFont val="Tahoma"/>
            <family val="2"/>
          </rPr>
          <t>Fernanda Perobelli: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Apenas parte pois, durante um certo período do mês, os funcionários realizam outras tarefas e uma parte da energia é para iluminação geral (comuns a todos os produtos).</t>
        </r>
      </text>
    </comment>
    <comment ref="B55" authorId="1" shapeId="0" xr:uid="{00000000-0006-0000-0A00-000008000000}">
      <text>
        <r>
          <rPr>
            <b/>
            <sz val="8"/>
            <color rgb="FF000000"/>
            <rFont val="Tahoma"/>
            <family val="2"/>
          </rPr>
          <t>Fernanda Perobelli: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De acordo com controle de produção, sabe-se que 25% do mês os empregados dedicaram a tarefas como manutenção, controle de estoques, limpeza, etc. Na produção, 25% do tempo foi destinado ao produto A, 52% ao B e  23% ao C.
</t>
        </r>
      </text>
    </comment>
    <comment ref="B63" authorId="1" shapeId="0" xr:uid="{00000000-0006-0000-0A00-000009000000}">
      <text>
        <r>
          <rPr>
            <b/>
            <sz val="8"/>
            <color rgb="FF000000"/>
            <rFont val="Tahoma"/>
            <family val="2"/>
          </rPr>
          <t>Fernanda Perobelli: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De acordo com o consumo de cada máquina, sabe-se que as mesmas consumiriam em conjunto 45.000/mês. Portanto, o consumo extra é indireto. Do consumo direto, durante 40% do mês foi produzido o produto A, 44% o B e 16% o C.
</t>
        </r>
      </text>
    </comment>
    <comment ref="B159" authorId="1" shapeId="0" xr:uid="{00000000-0006-0000-0A00-00000A000000}">
      <text>
        <r>
          <rPr>
            <b/>
            <sz val="8"/>
            <color rgb="FF000000"/>
            <rFont val="Tahoma"/>
            <family val="2"/>
          </rPr>
          <t>Fernanda Perobelli: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Importante lembrar que tal enfoque é praticamente impossível em um mercado concorrencial. Nesse caso, deve-se trabalhar com o preço de mercado.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Perobelli</author>
  </authors>
  <commentList>
    <comment ref="E31" authorId="0" shapeId="0" xr:uid="{00000000-0006-0000-0B00-000001000000}">
      <text>
        <r>
          <rPr>
            <b/>
            <sz val="8"/>
            <color rgb="FF000000"/>
            <rFont val="Tahoma"/>
            <family val="2"/>
          </rPr>
          <t>Fernanda Perobelli: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PV = 188 + 0,20PV
</t>
        </r>
        <r>
          <rPr>
            <sz val="8"/>
            <color rgb="FF000000"/>
            <rFont val="Tahoma"/>
            <family val="2"/>
          </rPr>
          <t xml:space="preserve">PV = 188/0,80
</t>
        </r>
        <r>
          <rPr>
            <sz val="8"/>
            <color rgb="FF000000"/>
            <rFont val="Tahoma"/>
            <family val="2"/>
          </rPr>
          <t>PV - 188 = Despesas c/ Vendas</t>
        </r>
      </text>
    </comment>
  </commentList>
</comments>
</file>

<file path=xl/sharedStrings.xml><?xml version="1.0" encoding="utf-8"?>
<sst xmlns="http://schemas.openxmlformats.org/spreadsheetml/2006/main" count="905" uniqueCount="632">
  <si>
    <t>Balanço Patrimonial encerrado no dia 31 de dezembro de 2019</t>
  </si>
  <si>
    <t xml:space="preserve">ATIVO </t>
  </si>
  <si>
    <t xml:space="preserve">2019 (R$) </t>
  </si>
  <si>
    <t xml:space="preserve">2018 (R$) </t>
  </si>
  <si>
    <t>AV (2019)</t>
  </si>
  <si>
    <t>AV (2018)</t>
  </si>
  <si>
    <t>AH</t>
  </si>
  <si>
    <t>CIRCULANTE</t>
  </si>
  <si>
    <t>Disponível</t>
  </si>
  <si>
    <t>Bens Numerários</t>
  </si>
  <si>
    <t>Depósitos Bancários</t>
  </si>
  <si>
    <t>Tit. Vinculados ao Mercado Aberto</t>
  </si>
  <si>
    <t>Créditos</t>
  </si>
  <si>
    <t>Contas a receber</t>
  </si>
  <si>
    <t>(-) Prov. P/Cred.Liq.Dividosa</t>
  </si>
  <si>
    <t>Créditos Eventuais</t>
  </si>
  <si>
    <t>Adiantamentos Efetuados</t>
  </si>
  <si>
    <t>Outros Créditos</t>
  </si>
  <si>
    <t>Impostos e Contribuições a Recuperar</t>
  </si>
  <si>
    <t xml:space="preserve">Estoques </t>
  </si>
  <si>
    <t>Despesas do Exercício Seguinte</t>
  </si>
  <si>
    <t>REALIZÁVEL A LONGO PRAZO</t>
  </si>
  <si>
    <t xml:space="preserve">Créditos </t>
  </si>
  <si>
    <t>PERMANENTE</t>
  </si>
  <si>
    <t>Investimentos</t>
  </si>
  <si>
    <t>Participação em Outras Empresas</t>
  </si>
  <si>
    <t xml:space="preserve">Outros Investimentos </t>
  </si>
  <si>
    <t xml:space="preserve">Imobilizado </t>
  </si>
  <si>
    <t>Valor Corrigido</t>
  </si>
  <si>
    <t>(-) Depreciações Acumuladas</t>
  </si>
  <si>
    <t>TOTAL DO ATIVO</t>
  </si>
  <si>
    <t>As notas explicativas são parte integrante das Demonstrações Contábeis</t>
  </si>
  <si>
    <t>PASSIVO E PATRIMÔNIO LÍQUIDO</t>
  </si>
  <si>
    <t>Fornecedores</t>
  </si>
  <si>
    <t>Obrigações Empregatícias</t>
  </si>
  <si>
    <t>Obrigações Sociais</t>
  </si>
  <si>
    <t>Provisões Trabalhistas e Sociais</t>
  </si>
  <si>
    <t xml:space="preserve">Obrigações com FGTS </t>
  </si>
  <si>
    <t>Obrigações Tributárias</t>
  </si>
  <si>
    <t>Atendimento de Clientes</t>
  </si>
  <si>
    <t>Instituições Financeiras</t>
  </si>
  <si>
    <t xml:space="preserve">EXIGÍVEL A LONGO PRAZO </t>
  </si>
  <si>
    <t>Outros Débitos</t>
  </si>
  <si>
    <t>PATRIMÔNIO LÍQUIDO</t>
  </si>
  <si>
    <t>Patrimônio Social</t>
  </si>
  <si>
    <t>Superávit do Exercício</t>
  </si>
  <si>
    <t>TOTAL DO PASSIVO E PATRIMÔNIO LIQUIDO</t>
  </si>
  <si>
    <t>RECEITA BRUTA DE SERVIÇOS</t>
  </si>
  <si>
    <t>Serviços Prestados ao Sistema Único de Saúde - SUS</t>
  </si>
  <si>
    <t>Serviços Prestados ao Inst. de Previdência do Estado RS</t>
  </si>
  <si>
    <t>Serviços Prestados a Outros Convênios</t>
  </si>
  <si>
    <t>Serviços Prestados a Particulares</t>
  </si>
  <si>
    <t>(-) Receitas glosadas e canceladas</t>
  </si>
  <si>
    <t>(=) RECEITA LÍQUIDA DE SERVIÇOS</t>
  </si>
  <si>
    <t>(-) CUSTO DOS SERVIÇOS PRESTADOS</t>
  </si>
  <si>
    <t>(=) SUPERÁVIT BRUTO</t>
  </si>
  <si>
    <t>(-) Despesas Gerais e Administrativas</t>
  </si>
  <si>
    <t>(-) Despesas Financeiras</t>
  </si>
  <si>
    <t>(+) Receitas Financeiras</t>
  </si>
  <si>
    <t>(+) Receitas Eventuais</t>
  </si>
  <si>
    <t>(+/-) Superávit/Déficit de Outros Serviços</t>
  </si>
  <si>
    <t>(=) SUPERÁVIT (DÉFICIT) OPERACIONAL</t>
  </si>
  <si>
    <t>(+) Superávit não Operacional</t>
  </si>
  <si>
    <t>Subvenções e Contribuições</t>
  </si>
  <si>
    <t>Doações e Outras Receitas</t>
  </si>
  <si>
    <t>Ganho/Perdas de Capital</t>
  </si>
  <si>
    <t>SUPERÁVIT DO EXERCÍCIO</t>
  </si>
  <si>
    <t>ROA</t>
  </si>
  <si>
    <t>Margem Líquida (LL/Receitas)</t>
  </si>
  <si>
    <t>Giro do Ativo (Receitas/AT)</t>
  </si>
  <si>
    <t>LL/AT</t>
  </si>
  <si>
    <t>ROE</t>
  </si>
  <si>
    <t>MAF (AT/PL)</t>
  </si>
  <si>
    <t>LL/PL</t>
  </si>
  <si>
    <t>LC</t>
  </si>
  <si>
    <t>LS</t>
  </si>
  <si>
    <t>LI</t>
  </si>
  <si>
    <t>CCL</t>
  </si>
  <si>
    <t>NCG</t>
  </si>
  <si>
    <t>ST</t>
  </si>
  <si>
    <t>CT/PL</t>
  </si>
  <si>
    <t>PME</t>
  </si>
  <si>
    <t>PMRV</t>
  </si>
  <si>
    <t>PMPC</t>
  </si>
  <si>
    <t>Ciclo de Caixa</t>
  </si>
  <si>
    <t>Análise do Ponto de Equilíbrio</t>
  </si>
  <si>
    <t>Determina o volume de vendas necessário para que os resultados do projeto estejam em equilíbrio</t>
  </si>
  <si>
    <t>Pode ser calculado:</t>
  </si>
  <si>
    <t>1) em termos de lucros contábeis</t>
  </si>
  <si>
    <t>2) em termos de valor presente</t>
  </si>
  <si>
    <t xml:space="preserve">Tabela de Receitas e Custos do Projetos sob diferentes Projeções de Vendas </t>
  </si>
  <si>
    <t>(em R$ milhões, exceto unidades vendidas)</t>
  </si>
  <si>
    <t>Ano 0</t>
  </si>
  <si>
    <t>Anos 1 a 5</t>
  </si>
  <si>
    <t xml:space="preserve">Investimento </t>
  </si>
  <si>
    <t xml:space="preserve">Unidades </t>
  </si>
  <si>
    <t xml:space="preserve">Receitas </t>
  </si>
  <si>
    <t xml:space="preserve">Custos </t>
  </si>
  <si>
    <t>Depreciação</t>
  </si>
  <si>
    <t>LAIR</t>
  </si>
  <si>
    <t>IR (34%)</t>
  </si>
  <si>
    <t xml:space="preserve">Lucro </t>
  </si>
  <si>
    <t xml:space="preserve">Fluxo </t>
  </si>
  <si>
    <t>VPL</t>
  </si>
  <si>
    <t>inicial</t>
  </si>
  <si>
    <t>vendidas/ano</t>
  </si>
  <si>
    <t>(PV = 2)</t>
  </si>
  <si>
    <t>(CV = 1)</t>
  </si>
  <si>
    <t>fixos</t>
  </si>
  <si>
    <t>líquido</t>
  </si>
  <si>
    <t>de caixa</t>
  </si>
  <si>
    <t>(15% a.a.)</t>
  </si>
  <si>
    <t>Notas:</t>
  </si>
  <si>
    <t>* Há prejuízo nas duas primeiras linhas. Para fins contábeis, este prejuízo compensa lucros obtidos em outras atividades da</t>
  </si>
  <si>
    <t>empresa.</t>
  </si>
  <si>
    <t>Ponto de Equilíbrio Contábil (não considera o custo de oportunidade do investimento inicial):</t>
  </si>
  <si>
    <t>a) Margem de contribuição ao Lucro líquido:</t>
  </si>
  <si>
    <t xml:space="preserve">    (Preço de venda - Custo variável) * (1-t) = </t>
  </si>
  <si>
    <t xml:space="preserve">    (2 milhões - 1 milhão) * (1-0,34) = 660 mil</t>
  </si>
  <si>
    <t>b) Custos fixos:</t>
  </si>
  <si>
    <t xml:space="preserve">    (Custo fixo + Depreciação) * (1-t) = </t>
  </si>
  <si>
    <t xml:space="preserve">    (1.791 milhões + 300 milhões) * (1-0,34) = 1.380 milhões</t>
  </si>
  <si>
    <t>c) Ponto de Equilíbrio Contábil:</t>
  </si>
  <si>
    <t xml:space="preserve">    [(Custo fixo + Depreciação) * (1-t)]/[(PV - CV)*(1-t)] = 1.380/0.66 = 2.091 unidades</t>
  </si>
  <si>
    <t>Ponto de Equilíbrio Financeiro (depreciação é substituída por investimento inicial corrigido):</t>
  </si>
  <si>
    <t xml:space="preserve">    Custo anual equivalente do investimento inicial: PMT = 447,5 milhões</t>
  </si>
  <si>
    <t xml:space="preserve">    447,5 milhões + [1.791 milhões * (1-0,34)] - (Depreciação * 0,34)= 1.528 milhões</t>
  </si>
  <si>
    <t>c) Ponto de Equilíbrio Financeiro:</t>
  </si>
  <si>
    <t xml:space="preserve">    CAE + [(Custos fixos * (1-t)] - [Depreciação * (1-t)]/[(PV - CV)*(1-t)] = 1.528/0.66 = 2.315 unidades</t>
  </si>
  <si>
    <t>Custeio por Absorção e RKW</t>
  </si>
  <si>
    <t>Primeiro Passo: Separação entre Custos e Despesas</t>
  </si>
  <si>
    <t>Suponha os seguintes gastos mensais para a empresa X:</t>
  </si>
  <si>
    <t>Discriminação dos Gastos</t>
  </si>
  <si>
    <t>Abril/09</t>
  </si>
  <si>
    <t>Comissão de vendedores</t>
  </si>
  <si>
    <t>Salários da Produção</t>
  </si>
  <si>
    <t>Matéria-prima consumida</t>
  </si>
  <si>
    <t>Salários da Administração</t>
  </si>
  <si>
    <t>Depreciação dos equipamentos da Produção</t>
  </si>
  <si>
    <t>Seguros dos equipamentos da Produção</t>
  </si>
  <si>
    <t>Despesas financeiras</t>
  </si>
  <si>
    <t>Honorários dos sócios</t>
  </si>
  <si>
    <t>Materiais diversos - Produção</t>
  </si>
  <si>
    <t>Energia elétrica - Produção</t>
  </si>
  <si>
    <t>Manutenção - Produção</t>
  </si>
  <si>
    <t>Despesas de entrega</t>
  </si>
  <si>
    <t>Correios, Telefone e Fax</t>
  </si>
  <si>
    <t>Material de consumo - Escritório</t>
  </si>
  <si>
    <t>Total de Gastos</t>
  </si>
  <si>
    <t>Custos de Produção</t>
  </si>
  <si>
    <t>Total de Custos</t>
  </si>
  <si>
    <t>Despesas</t>
  </si>
  <si>
    <t>Com Vendas</t>
  </si>
  <si>
    <t>Administrativas</t>
  </si>
  <si>
    <t>Total de Despesas</t>
  </si>
  <si>
    <t>Segundo Passo: Apropriação dos Custos Diretos</t>
  </si>
  <si>
    <t>Suponha que a empresa elabore 3 produtos diferenciados (A, B e C)</t>
  </si>
  <si>
    <t>Nessa empresa, são considerados custos diretos, além do MD,</t>
  </si>
  <si>
    <t>parte da MOD e parte da energia elétrica</t>
  </si>
  <si>
    <t>Matéria-prima</t>
  </si>
  <si>
    <t>Produto A</t>
  </si>
  <si>
    <t>Produto B</t>
  </si>
  <si>
    <t>Produto C</t>
  </si>
  <si>
    <t>Total do MD</t>
  </si>
  <si>
    <t>Mão de Obra</t>
  </si>
  <si>
    <t>Indireta</t>
  </si>
  <si>
    <t>Direta</t>
  </si>
  <si>
    <t>Total da MOD</t>
  </si>
  <si>
    <t>Energia Elétrica</t>
  </si>
  <si>
    <t>Total da Energia Elétrica</t>
  </si>
  <si>
    <t>Quadro Resumo</t>
  </si>
  <si>
    <t>Custos</t>
  </si>
  <si>
    <t>Diretos</t>
  </si>
  <si>
    <t>Indiretos</t>
  </si>
  <si>
    <t>Total</t>
  </si>
  <si>
    <t>-</t>
  </si>
  <si>
    <t>Mão-de-obra</t>
  </si>
  <si>
    <t xml:space="preserve">Seguros </t>
  </si>
  <si>
    <t>Materiais Diversos</t>
  </si>
  <si>
    <t>Manutenção</t>
  </si>
  <si>
    <t>Terceiro Passo: Apropriação dos Custos Indiretos (CIF)</t>
  </si>
  <si>
    <t xml:space="preserve">Uma maneira simples de apropriação seria proporcional ao montante de </t>
  </si>
  <si>
    <t>custos diretos que cada produto já recebeu. Não havendo um critério mais</t>
  </si>
  <si>
    <t>apropriado, esse será o critério utilizado.</t>
  </si>
  <si>
    <t>Teremos então:</t>
  </si>
  <si>
    <t>Custos Indiretos de Fabricação</t>
  </si>
  <si>
    <t>Total de Custos Indiretos</t>
  </si>
  <si>
    <t>Custos Totais</t>
  </si>
  <si>
    <t>MOD</t>
  </si>
  <si>
    <t>CIF</t>
  </si>
  <si>
    <t>Passo Adicional (RKW): Apropriação das Despesas</t>
  </si>
  <si>
    <t>custos que cada produto já recebeu. Não havendo um critério mais</t>
  </si>
  <si>
    <t>Gastos</t>
  </si>
  <si>
    <t>Mark-up</t>
  </si>
  <si>
    <t>G</t>
  </si>
  <si>
    <t>Impostos em percentual da Receita</t>
  </si>
  <si>
    <t>i x R</t>
  </si>
  <si>
    <t>Lucro em percentual da Receita (Margem Líquida)</t>
  </si>
  <si>
    <t>L x R</t>
  </si>
  <si>
    <t>Receita</t>
  </si>
  <si>
    <t>R</t>
  </si>
  <si>
    <t>G + (i x R) + (L x R) = R</t>
  </si>
  <si>
    <t>Colocando R em evidência:</t>
  </si>
  <si>
    <t>R x (1 - i - L) = G</t>
  </si>
  <si>
    <t>R = 1/(1- i - L) x G</t>
  </si>
  <si>
    <t xml:space="preserve">                      Mark-up</t>
  </si>
  <si>
    <t>Supondo uma Margem Líquida desejada de 10% e Impostos de 20%:</t>
  </si>
  <si>
    <t xml:space="preserve">Mark-up do Produto A = </t>
  </si>
  <si>
    <t xml:space="preserve">Mark-up do Produto B = </t>
  </si>
  <si>
    <t xml:space="preserve">Mark-up do Produto C = </t>
  </si>
  <si>
    <t xml:space="preserve">Supondo que sejam produzidas/mês 2000un. de A, 3000 de B e 2600 de C: </t>
  </si>
  <si>
    <t xml:space="preserve">Preço de A = </t>
  </si>
  <si>
    <t>Preço de B =</t>
  </si>
  <si>
    <t xml:space="preserve">Preço de C = </t>
  </si>
  <si>
    <t>Discriminação</t>
  </si>
  <si>
    <t>AV(%)</t>
  </si>
  <si>
    <t>Receitas</t>
  </si>
  <si>
    <t>(-) Impostos</t>
  </si>
  <si>
    <t>(-) Custos</t>
  </si>
  <si>
    <t>(-) Despesas</t>
  </si>
  <si>
    <t>(=) Lucro</t>
  </si>
  <si>
    <t>Decisão pela MCU sem restrição</t>
  </si>
  <si>
    <t>Suponha que uma empresa trabalhe por encomenda, produzindo com a seguinte estrutura de custos e despesas:</t>
  </si>
  <si>
    <t>a) custos fixos de produção (depreciação, seguro das máquinas, salário do supervisor) - $ 1.400.000/mês</t>
  </si>
  <si>
    <t>b) energia elétrica da produção - $ 400,00/hora máquina</t>
  </si>
  <si>
    <t>c) despesas administrativas, com vendas e financiamento - $ 1.200.000/mês</t>
  </si>
  <si>
    <t>d) despesas variáveis de vendas (combustível, comissões) - $ 0,20 por $ 1 de venda</t>
  </si>
  <si>
    <t>O volume total de trabalho no mês é de 2.500 horas-máquina e a empresa tem como meta um lucro mensal de $ 1 milhão.</t>
  </si>
  <si>
    <t xml:space="preserve">A partir dessas informações, acrescenta ao custo dos materiais diretos, à mão-de-obra direta do produto encomendado e às </t>
  </si>
  <si>
    <t>despesas com vendas a seguinte margem (calculada de acordo com o número de horas gastas na produção):</t>
  </si>
  <si>
    <t>Custo fixo de produção por hora = 1.400.000/2.500 =</t>
  </si>
  <si>
    <t xml:space="preserve">Energia elétrica = </t>
  </si>
  <si>
    <t xml:space="preserve">Despesas fixas por hora = 1.200.000/2.500 = </t>
  </si>
  <si>
    <t>Lucro esperado = 1.000.000/2500 =</t>
  </si>
  <si>
    <t xml:space="preserve">Margem por hora de produção = </t>
  </si>
  <si>
    <t>Estando ociosa numa semana, a empresa recebe um cliente que lhe solicita propõe uma encomenda com as seguintes</t>
  </si>
  <si>
    <t>características:</t>
  </si>
  <si>
    <t>Materiais e Mão-de-obra previstos</t>
  </si>
  <si>
    <t>Horas de produção necessárias</t>
  </si>
  <si>
    <t>A empresa calcula o seguinte preço do produto (considerando os custos e despesas associados e o lucro pretendido):</t>
  </si>
  <si>
    <t xml:space="preserve">Material e MOD = </t>
  </si>
  <si>
    <t>Margem por hora = $ 1.840 x 50 horas</t>
  </si>
  <si>
    <t xml:space="preserve">Despesas com vendas (20% do PV) = </t>
  </si>
  <si>
    <t>Preço do pedido =</t>
  </si>
  <si>
    <t>O cliente, entretanto, está disposto a pagar apenas $ 200.000 pela encomenda. A empresa deve aceitar?</t>
  </si>
  <si>
    <t>Vejamos o lucro ou prejuízo caso aceite:</t>
  </si>
  <si>
    <t xml:space="preserve">Preço ofertado pelo cliente = </t>
  </si>
  <si>
    <t>(-) Despesas com vendas  =</t>
  </si>
  <si>
    <t>(-) Custo de produção (exceto lucro) =</t>
  </si>
  <si>
    <t>Resultado Operacional =</t>
  </si>
  <si>
    <t xml:space="preserve">A empresa então não deveria aceitar a encomenda, que gera um resultado operacional negativo em </t>
  </si>
  <si>
    <t>$ 8.000.</t>
  </si>
  <si>
    <t xml:space="preserve">Entretanto, como a empresa tem custos fixos (que existirão independente da aceitação da encomenda), </t>
  </si>
  <si>
    <t>vejamos quanto ela deixaria de ganhar caso não aceitasse a encomenda:</t>
  </si>
  <si>
    <t>Custos variáveis:</t>
  </si>
  <si>
    <t>a) Material e mão-de-obra direta =</t>
  </si>
  <si>
    <t xml:space="preserve">b) Energia elétrica = $ 400 x 50 horas = </t>
  </si>
  <si>
    <t xml:space="preserve">c) Despesas com vendas = 0,20 x $ 200.000 = </t>
  </si>
  <si>
    <t>Custo variável =</t>
  </si>
  <si>
    <t>Preço de venda =</t>
  </si>
  <si>
    <t xml:space="preserve">Margem de Contribuição = </t>
  </si>
  <si>
    <t>A empresa deixaria de ganhar $ 44.000 na encomenda, que ajudariam a pagar os custos fixos!</t>
  </si>
  <si>
    <t>Imagine agora que outro cliente faça uma segunda oferta, idêntica à do cliente A, exceto pelo preço ofertado,</t>
  </si>
  <si>
    <t>que será igual a $ 220.000. Imaginando que a empresa só tem capacidade ociosa para atender a uma encomenda</t>
  </si>
  <si>
    <t>adicional, qual deveria ser aceita?</t>
  </si>
  <si>
    <t>Regra: na ausência de fator limitador, o produto que gerar a maior margem de contribuição, será o mais rentável.</t>
  </si>
  <si>
    <t>Decisão pela MCU com restrição</t>
  </si>
  <si>
    <t>A Cia. Jurema produz uma linha de roupas para bonecas. Os dados técnicos das várias coleções da empresa estão abaixo:</t>
  </si>
  <si>
    <t>Artigo</t>
  </si>
  <si>
    <t>Estimativa de</t>
  </si>
  <si>
    <t xml:space="preserve">Tempo de </t>
  </si>
  <si>
    <t>Tempo total</t>
  </si>
  <si>
    <t>Preço</t>
  </si>
  <si>
    <t>Material</t>
  </si>
  <si>
    <t>Lucro</t>
  </si>
  <si>
    <t>Lucro por</t>
  </si>
  <si>
    <t xml:space="preserve">Margem </t>
  </si>
  <si>
    <t>vendas para X5</t>
  </si>
  <si>
    <t>produção/un (h)</t>
  </si>
  <si>
    <t>unitário</t>
  </si>
  <si>
    <t>unitária</t>
  </si>
  <si>
    <t>tempo</t>
  </si>
  <si>
    <t>líquida</t>
  </si>
  <si>
    <t>Laura</t>
  </si>
  <si>
    <t>Débora</t>
  </si>
  <si>
    <t>Sônia</t>
  </si>
  <si>
    <t>Cristina</t>
  </si>
  <si>
    <t>Noiva</t>
  </si>
  <si>
    <t>Capacidade</t>
  </si>
  <si>
    <t>A empresa, entretanto, enfrenta um problema: a capacidade máxima instalada é de 130.000 horas de produção/ano. Como a empresa não</t>
  </si>
  <si>
    <t xml:space="preserve">planeja aumentar a capacidade no curto prazo, a produção de uma das linhas deveria ser reduzida em 10.000 horas. Qual linha deverá </t>
  </si>
  <si>
    <t>ser reduzida?</t>
  </si>
  <si>
    <t>Soluções apresentadas:</t>
  </si>
  <si>
    <t>a) o contador da empresa, apreentou como proposta reduzir a linha que apresentasse o menor lucro unitário (Noiva, redução de 50.000 un);</t>
  </si>
  <si>
    <t xml:space="preserve">b) o engenheiro de produção apresentou como contra-proposta reduzir a linha que apresentasse o menor lucro líquido por tempo de produção </t>
  </si>
  <si>
    <t>(menor produtividade) uma vez que deveria ser objetivo da administração aumentar a eficiência desse fator (Cristina, redução de 20.000 un);</t>
  </si>
  <si>
    <t>c) o gerente de vendas apresentou como contra-proposta reduzir a linha que apresentasse a menor margem líquida (Sônia, redução de 14.280 un)</t>
  </si>
  <si>
    <t>Resultado da empresa sob cada proposta:</t>
  </si>
  <si>
    <t>a) Proposta do Contador (Noiva):</t>
  </si>
  <si>
    <t>(-) MOD</t>
  </si>
  <si>
    <t>(-) Materiais</t>
  </si>
  <si>
    <t>(-) Custos indiretos</t>
  </si>
  <si>
    <t>b) Proposta do Engenheiro (Cristina):</t>
  </si>
  <si>
    <t>c) Proposta do Gerente de Vendas (Sônia):</t>
  </si>
  <si>
    <t>Regra: havendo fator limitador, o produto que gerar a maior margem de contribuição em percentual do fator limitador</t>
  </si>
  <si>
    <t>será o mais rentável.</t>
  </si>
  <si>
    <t>Exemplo 1:</t>
  </si>
  <si>
    <t>Unidades vendidas</t>
  </si>
  <si>
    <t>(-) Custos operacionais variáveis</t>
  </si>
  <si>
    <t>(-) Custos operacionais fixos</t>
  </si>
  <si>
    <t>(=) LAJIR</t>
  </si>
  <si>
    <t>Variação na Receita</t>
  </si>
  <si>
    <t>Variação no LAJIR</t>
  </si>
  <si>
    <t>Exemplo 3:</t>
  </si>
  <si>
    <t>GAO (fórmula 1 a um nível-base = Q)</t>
  </si>
  <si>
    <t>GAO (fórmula 2 a um nível-base = Q)</t>
  </si>
  <si>
    <t>Exemplo 4</t>
  </si>
  <si>
    <t>a) Ponto de Equilíbrio Operacional</t>
  </si>
  <si>
    <t>b) PEO (F = 3000)</t>
  </si>
  <si>
    <t>c) PEO (P = 12,5)</t>
  </si>
  <si>
    <t>d) PEO (C = 7,5)</t>
  </si>
  <si>
    <t>Exemplo 2:</t>
  </si>
  <si>
    <t>Exemplo 5:</t>
  </si>
  <si>
    <t>(-) Juros (10% de 20.000)</t>
  </si>
  <si>
    <t>(=) LAIR</t>
  </si>
  <si>
    <t>(-) IR (40%)</t>
  </si>
  <si>
    <t>(=) LL</t>
  </si>
  <si>
    <t>(-) Dividendo Preferencial</t>
  </si>
  <si>
    <t>(=) Lucro disponível para os acionistas ordinários</t>
  </si>
  <si>
    <t>Lucro por ação</t>
  </si>
  <si>
    <t>Variação no LPA</t>
  </si>
  <si>
    <t>Exemplo 7</t>
  </si>
  <si>
    <t>GAF (fórmula 1 a um nível-base = Q)</t>
  </si>
  <si>
    <t>GAF (fórmula 2 a um nível-base = Q)</t>
  </si>
  <si>
    <t>Exemplo 6</t>
  </si>
  <si>
    <t xml:space="preserve">(=) Lucro disponível para os acionistas </t>
  </si>
  <si>
    <t>Exemplo 8:</t>
  </si>
  <si>
    <t>Variação nas Vendas</t>
  </si>
  <si>
    <t>Exemplo 10</t>
  </si>
  <si>
    <t>GAT (fórmula 1 a um nível-base = Q)</t>
  </si>
  <si>
    <t>GAT (fórmula 2 a um nível-base = Q)</t>
  </si>
  <si>
    <t>GAO</t>
  </si>
  <si>
    <t>GAF</t>
  </si>
  <si>
    <t>GAT (fórmula 3 a um nível-base = Q)</t>
  </si>
  <si>
    <t>Exemplo 9:</t>
  </si>
  <si>
    <t>Vendas</t>
  </si>
  <si>
    <t>Prazos</t>
  </si>
  <si>
    <t>Dias</t>
  </si>
  <si>
    <t>Percentual</t>
  </si>
  <si>
    <t>Desconto</t>
  </si>
  <si>
    <t>Custo dos servicos prestados</t>
  </si>
  <si>
    <t xml:space="preserve">   50% materiais</t>
  </si>
  <si>
    <t xml:space="preserve">   15% outros</t>
  </si>
  <si>
    <t>Investimento em Clientes</t>
  </si>
  <si>
    <t>Investimento em Estoques</t>
  </si>
  <si>
    <t>Financiamento de Fornecedores</t>
  </si>
  <si>
    <t>Necessidade de Capital de Giro Variáveis</t>
  </si>
  <si>
    <t>Caixa Mínimo</t>
  </si>
  <si>
    <t>Folha de Pagamento</t>
  </si>
  <si>
    <t>Necessidade de Capital de Giro Totais</t>
  </si>
  <si>
    <t>Se as vendas subirem 10%</t>
  </si>
  <si>
    <t>Variação das NCG variáveis</t>
  </si>
  <si>
    <t>Folha de pagamento</t>
  </si>
  <si>
    <t>Payback - Desconsidera fluxos após o período de recuperação, mas útil como medida auxiliar (exemplo: índice Preço/Lucro no Mercado Financeiro)</t>
  </si>
  <si>
    <t>Projeto</t>
  </si>
  <si>
    <t>Ano 1</t>
  </si>
  <si>
    <t>Ano 2</t>
  </si>
  <si>
    <t>Ano 3</t>
  </si>
  <si>
    <t>Payback</t>
  </si>
  <si>
    <t>A</t>
  </si>
  <si>
    <t>B</t>
  </si>
  <si>
    <t>Problemas da TIR - Todos os tipos de projetos: em caso de fluxos irregulares (positivos e negativos) não pode ser usada!</t>
  </si>
  <si>
    <t>TIR 1</t>
  </si>
  <si>
    <t>TIR 2</t>
  </si>
  <si>
    <t xml:space="preserve">E se o Custo de Capital for 15%? </t>
  </si>
  <si>
    <t>Problemas da TIR - Projetos Excludentes: Escalas Diferentes requerem TIR Incremental!</t>
  </si>
  <si>
    <t>TIR</t>
  </si>
  <si>
    <t>VPL (25%)</t>
  </si>
  <si>
    <t>Incremental</t>
  </si>
  <si>
    <t>Problemas da TIR - Projetos Excludentes: Fluxos Alternados no tempo requerem TIR Modificada!</t>
  </si>
  <si>
    <t>VPL (10%)</t>
  </si>
  <si>
    <t>VPL (15%)</t>
  </si>
  <si>
    <t>TIRM (10%)</t>
  </si>
  <si>
    <t>TIRM (15%)</t>
  </si>
  <si>
    <t>Como avaliar projetos supondo Cadeia de Reposição? VPL Perpétuo ou Custo Anual Equivalente (CAE)!</t>
  </si>
  <si>
    <t>Ano 4</t>
  </si>
  <si>
    <t>Ano 5</t>
  </si>
  <si>
    <t>CAE</t>
  </si>
  <si>
    <t>CAE + Manutenção</t>
  </si>
  <si>
    <t>A (vida útil = 3 anos)</t>
  </si>
  <si>
    <t>B (vida útil = 4 anos)</t>
  </si>
  <si>
    <t>Projetos</t>
  </si>
  <si>
    <t>Fluxos descontados</t>
  </si>
  <si>
    <t xml:space="preserve">VPL </t>
  </si>
  <si>
    <t>IR TOTAL</t>
  </si>
  <si>
    <t>1+MF</t>
  </si>
  <si>
    <t>2+3</t>
  </si>
  <si>
    <t>C</t>
  </si>
  <si>
    <t>D</t>
  </si>
  <si>
    <t>2+4+MF</t>
  </si>
  <si>
    <t xml:space="preserve">Capital racionado = </t>
  </si>
  <si>
    <t xml:space="preserve">Análise de Fluxos de Caixa Relevantes à Avaliação de Projetos </t>
  </si>
  <si>
    <t>Regras gerais:</t>
  </si>
  <si>
    <t>Custos afundados: pagos independentemente da viabilidade do projeto pois foram contratados ex ante ou não variam conforme o projeto. NÃO ENTRAM NA PLANILHA! (exemplo: pesquisa de mercado)</t>
  </si>
  <si>
    <t>Custos de oportunidade: não entradas (negativas) ou não saídas (positivas) decorrentes da aceitação do projeto. ENTRAM NA PLANILHA! (exemplo: terreno)</t>
  </si>
  <si>
    <t xml:space="preserve">Efeitos colaterais: complementariedades (positivas) ou substituições em outros projetos decorrentes do projeto sob análise. ENTRAM NA PLANILHA! </t>
  </si>
  <si>
    <r>
      <t xml:space="preserve">Empresa Baldwin: </t>
    </r>
    <r>
      <rPr>
        <sz val="12"/>
        <rFont val="Arial"/>
        <family val="2"/>
      </rPr>
      <t>fabricante de bolas de boliche</t>
    </r>
  </si>
  <si>
    <r>
      <t xml:space="preserve">Projeto estudado: </t>
    </r>
    <r>
      <rPr>
        <sz val="12"/>
        <rFont val="Arial"/>
        <family val="2"/>
      </rPr>
      <t>fabricação de bolas de boliche coloridas</t>
    </r>
  </si>
  <si>
    <t>Informações relevantes:</t>
  </si>
  <si>
    <t>1) Pesquisa de mercado: revelava que havia uma fatia de mercado de 10% a 15% para tais bolas</t>
  </si>
  <si>
    <t>2) Custo da pesquisa de mercado encomendada: $ 2.500</t>
  </si>
  <si>
    <t>3) Vida útil do projeto: 5 anos</t>
  </si>
  <si>
    <t>4) Local para instalação da nova fábrica: prédio vago que poderia ser vendido por $ 250.000 após impostos</t>
  </si>
  <si>
    <t>5) Custo da máquina de bolas coloridas: $ 100.000</t>
  </si>
  <si>
    <t>6) Valor de mercado estimado da máquina após 5 anos: $ 30.000</t>
  </si>
  <si>
    <t>7) Produção esperada da máquina (em unidades):</t>
  </si>
  <si>
    <t xml:space="preserve">   Ano 1:  5.000 </t>
  </si>
  <si>
    <t xml:space="preserve">   Ano 2:  8.000 </t>
  </si>
  <si>
    <t xml:space="preserve">   Ano 3: 12.000 </t>
  </si>
  <si>
    <t xml:space="preserve">   Ano 4: 10.000 </t>
  </si>
  <si>
    <t xml:space="preserve">   Ano 5:  6.000 </t>
  </si>
  <si>
    <t>8) Preço da bola no primeiro ano: $ 20/unidade, crescendo a 2% a.a. (mercado muito competitivo)</t>
  </si>
  <si>
    <t>9) Inflação anual projetada para o período: 5% a.a.</t>
  </si>
  <si>
    <t>10) Custo de produção no primeiro ano: $ 10/unidade, crescendo a 10% a.a.</t>
  </si>
  <si>
    <t>11) Investimento em Capital de Giro: $ 10.000 no ano 0, sendo totalmente recuperado no final do projeto</t>
  </si>
  <si>
    <t>Tabela de Fluxos (assume que todos ocorram no final do ano):</t>
  </si>
  <si>
    <t>Investimentos iniciais e fluxos residuais:</t>
  </si>
  <si>
    <r>
      <t>1) Custo da máquina</t>
    </r>
    <r>
      <rPr>
        <b/>
        <vertAlign val="superscript"/>
        <sz val="12"/>
        <rFont val="Arial"/>
        <family val="2"/>
      </rPr>
      <t>1</t>
    </r>
  </si>
  <si>
    <t xml:space="preserve">    Depreciação acumulada</t>
  </si>
  <si>
    <t xml:space="preserve">    Valor contábil da máquina após depreciação</t>
  </si>
  <si>
    <t>2) Custo de oportunidade do prédio da fábrica</t>
  </si>
  <si>
    <t xml:space="preserve">   Capital de giro líquido (varia conforme faturamento)</t>
  </si>
  <si>
    <t>3) Variação do Capital de giro líquido</t>
  </si>
  <si>
    <t>4) Total de Investimentos (1+2+3)</t>
  </si>
  <si>
    <t>8) Faturamento</t>
  </si>
  <si>
    <t xml:space="preserve">   Produção (em unidades)</t>
  </si>
  <si>
    <t xml:space="preserve">   Preço de venda </t>
  </si>
  <si>
    <t xml:space="preserve">   Variação percentual do faturamento</t>
  </si>
  <si>
    <t>9) Custos de produção</t>
  </si>
  <si>
    <t xml:space="preserve">   Custo unitário</t>
  </si>
  <si>
    <t>10) Depreciação anual</t>
  </si>
  <si>
    <t>11) LAJIR (8-9-10)</t>
  </si>
  <si>
    <t>12) IR (34%)</t>
  </si>
  <si>
    <t>13) Lucro líquido (11-12)</t>
  </si>
  <si>
    <t>Entradas Operacionais:</t>
  </si>
  <si>
    <t>14) Fluxo de caixa das operacões (8-9-12)</t>
  </si>
  <si>
    <t>15) Fluxo total do Projeto (4+14)</t>
  </si>
  <si>
    <t>VPL a 4% a.a.</t>
  </si>
  <si>
    <t>VPL a 10% a.a.</t>
  </si>
  <si>
    <t>VPL a 15% a.a.</t>
  </si>
  <si>
    <t>TIR:</t>
  </si>
  <si>
    <t>VPL a 20% a.a.</t>
  </si>
  <si>
    <t>1. Valor de mercado da máquina no Ano 5 = $ 30.000</t>
  </si>
  <si>
    <t xml:space="preserve">O ganho de capital é a diferença entre o valor de venda e o valor contábil na data. </t>
  </si>
  <si>
    <t>Assumindo que a máquina tem vida útil de 7 anos, será depreciada em 14,29% a.a., valendo contabilmente $ 28.571 no Ano 5.</t>
  </si>
  <si>
    <t>Ganho de capital: 30.000 - 28.571 = 1.429</t>
  </si>
  <si>
    <t>IR sobre ganho de capital: (0,34 * 1.429) = 485,86</t>
  </si>
  <si>
    <t>Valor de venda líquido = 30.000 - 485,86 = 29.514,14</t>
  </si>
  <si>
    <t>Avaliação por Dividendos - Modelo de Gordon</t>
  </si>
  <si>
    <t>P0</t>
  </si>
  <si>
    <t>Div1</t>
  </si>
  <si>
    <t>k</t>
  </si>
  <si>
    <t>g</t>
  </si>
  <si>
    <t>Imaginando que a ação seja vendida no final do ano 3:</t>
  </si>
  <si>
    <t>Div2</t>
  </si>
  <si>
    <t>Div3</t>
  </si>
  <si>
    <t>P3</t>
  </si>
  <si>
    <t>Avaliação por Fluxo de Caixa do Acionista (FCFE) x Fluxo de Caixa da Firma (FCFF) - Assumindo Perpetuidade a partir do ano 6</t>
  </si>
  <si>
    <t>Data</t>
  </si>
  <si>
    <t>Saídas /1</t>
  </si>
  <si>
    <t>EBITDA /2</t>
  </si>
  <si>
    <t>CAPEX /3</t>
  </si>
  <si>
    <t>Juros</t>
  </si>
  <si>
    <t>Impostos (t = 50%)</t>
  </si>
  <si>
    <t>Lucro líquido</t>
  </si>
  <si>
    <t>Fluxo de caixa para os acionistas</t>
  </si>
  <si>
    <t>Fluxo de caixa da firma</t>
  </si>
  <si>
    <t>(1) Saídas: R$ 1000 referentes aos investimentos iniciais (50% capital próprio/50% capital de terceiros); a partir do ano 6 o projeto entra em perpetuidade.</t>
  </si>
  <si>
    <t>(2) Lucro antes do juros, impostos, amortização e depreciação (EBITDA): Receitas - Gastos variáveis - Gastos fixos</t>
  </si>
  <si>
    <t>(3) Investimentos realizados no decorrer do projeto com vistas a repor a depreciação (em empresas iniciantes CAPEX &gt; Depr; em empresas maduras CAPEX = Depr).</t>
  </si>
  <si>
    <t>Ke (custo de capital dos sócios)</t>
  </si>
  <si>
    <t>kd (custo de capital de terceiros)</t>
  </si>
  <si>
    <t>g (taxa de crescimento na perpetuidade)</t>
  </si>
  <si>
    <t>FCFE (fluxos, custo de capital e investimento dos sócios):</t>
  </si>
  <si>
    <t>FCFF (fluxos, custo de capital e investimento da firma):</t>
  </si>
  <si>
    <t>PV dos sócios:</t>
  </si>
  <si>
    <t>PV dos credores:</t>
  </si>
  <si>
    <t>Valor da firma:</t>
  </si>
  <si>
    <t>WACC:</t>
  </si>
  <si>
    <t>ANÁLISE DAS DEMONSTRAÇÕES FINANCEIRAS</t>
  </si>
  <si>
    <t>ALAVANCAGEM OPERACIONAL</t>
  </si>
  <si>
    <t>ALAVANCAGEM FINANCEIRA</t>
  </si>
  <si>
    <t>ALAVANCAGEM TOTAL</t>
  </si>
  <si>
    <t>REGRAS DE INVESTIMENTO</t>
  </si>
  <si>
    <t>CÁLCULO DAS NECESSIDADES DE CAPITAL DE GIRO</t>
  </si>
  <si>
    <t>AVALIAÇÃO POR DIV-FCFE-FCFF</t>
  </si>
  <si>
    <t>Ou seja: o modelo inclui ganhos de capital. Para uma boa estimativa de 'g', vide nota de rodapé n. 2 do Capítulo 6.</t>
  </si>
  <si>
    <t>São iguais desde que se use a ESTRUTURA META de capital!</t>
  </si>
  <si>
    <t>Estrutura Meta de capital</t>
  </si>
  <si>
    <t>C1</t>
  </si>
  <si>
    <t>C0</t>
  </si>
  <si>
    <t>Max C0</t>
  </si>
  <si>
    <t>i</t>
  </si>
  <si>
    <t>fator de capitalização</t>
  </si>
  <si>
    <t>VF = VP+Vpi +(VP+Vpi)i</t>
  </si>
  <si>
    <t>VF = VP (1+i)^2</t>
  </si>
  <si>
    <t>VF = VP (1+i)^t</t>
  </si>
  <si>
    <t>VP = VF / (1+i)^t</t>
  </si>
  <si>
    <t>fator de desconto</t>
  </si>
  <si>
    <t>Max C1</t>
  </si>
  <si>
    <t>Max Co = 104,54</t>
  </si>
  <si>
    <t>Max C1 = 115</t>
  </si>
  <si>
    <t>Conjunto de Oportunidades de Consumo-Investimento</t>
  </si>
  <si>
    <t>C0 = 50+10</t>
  </si>
  <si>
    <t>C1 = 60-(10*1,10)</t>
  </si>
  <si>
    <t>i=30%</t>
  </si>
  <si>
    <t>i=5%</t>
  </si>
  <si>
    <t>Investimento</t>
  </si>
  <si>
    <t>Fluxo de caixa em t=1</t>
  </si>
  <si>
    <t>TIR ou IRR</t>
  </si>
  <si>
    <t>VFL</t>
  </si>
  <si>
    <t>X</t>
  </si>
  <si>
    <t>Taxa de retorno = custo de capital</t>
  </si>
  <si>
    <t>0 = -30 + 40x - 5x2 + 50x3</t>
  </si>
  <si>
    <t>0 = -30 + 40/(1+TIR) - 5/(1+TIR)^2 + 50/(1+TIR)^3</t>
  </si>
  <si>
    <t>onde x = 1/(1+TIR)</t>
  </si>
  <si>
    <t>TIR1 = 5%</t>
  </si>
  <si>
    <t>TIR2 = 15%</t>
  </si>
  <si>
    <t>I = 10%</t>
  </si>
  <si>
    <t>custo de capital</t>
  </si>
  <si>
    <t>VPL/Preço do ativo</t>
  </si>
  <si>
    <t>Problemas da TIR</t>
  </si>
  <si>
    <t>1) não é a taxa real da economia (é apenas a solução matemática</t>
  </si>
  <si>
    <t xml:space="preserve">    para um problema de raízes de um polinômio de grau t)</t>
  </si>
  <si>
    <t>2) haverá tantas TIRs quantas forem as mudanças de sinal entre os</t>
  </si>
  <si>
    <t xml:space="preserve">    fluxos</t>
  </si>
  <si>
    <t>3) para escolha de projetos (projetos mutuamente excludentes), a TIR</t>
  </si>
  <si>
    <t xml:space="preserve">    é influenciada pela escala do projetos (projetos menores tem TIRs </t>
  </si>
  <si>
    <t xml:space="preserve">    maiores, mas custos de oportunidade)</t>
  </si>
  <si>
    <t>4) para escolha de projetos (projetos mutuamente excludentes), a TIR</t>
  </si>
  <si>
    <t xml:space="preserve">    é influenciada pelo padrão de fluxos no tempo (capitalização/desconto)</t>
  </si>
  <si>
    <t>Problema 3</t>
  </si>
  <si>
    <t>FC1</t>
  </si>
  <si>
    <t>Projeto menor</t>
  </si>
  <si>
    <t>Projeto maior</t>
  </si>
  <si>
    <t>VPL (i=25%)</t>
  </si>
  <si>
    <t>TIR incremental</t>
  </si>
  <si>
    <t>10/25*300+15/25*x = 160%</t>
  </si>
  <si>
    <t>x = (160 - 10/25*300 )/(15/25)</t>
  </si>
  <si>
    <t>Problema 4</t>
  </si>
  <si>
    <t>FC2</t>
  </si>
  <si>
    <t>FC3</t>
  </si>
  <si>
    <t>Valor nominal</t>
  </si>
  <si>
    <t>VPL (i=10%)</t>
  </si>
  <si>
    <t>VPL (i=15%)</t>
  </si>
  <si>
    <t>PROJETO MENOR</t>
  </si>
  <si>
    <t>PROJETO MAIOR</t>
  </si>
  <si>
    <t xml:space="preserve">COMO O PROJETO PRODUTIVO ALTERA O CONJUNTO DE </t>
  </si>
  <si>
    <t>OPORTUNIDADES DE CONSUMO-INVESTIMENTO</t>
  </si>
  <si>
    <t>MAX C0 =</t>
  </si>
  <si>
    <t xml:space="preserve">MAX C1 = </t>
  </si>
  <si>
    <t>Max C0 =</t>
  </si>
  <si>
    <t>Max C1 =</t>
  </si>
  <si>
    <t>Max Co = 110,90</t>
  </si>
  <si>
    <t>Max C1 = 122</t>
  </si>
  <si>
    <t>MRS = MRT</t>
  </si>
  <si>
    <t>SEM MERCADO FINANCEIRO (EMPREENDEDOR = FINANCIADOR)</t>
  </si>
  <si>
    <t>COM MERCADO FINANCEIRO (EMPREENDEDOR &lt;&gt; FINANCIADOR)</t>
  </si>
  <si>
    <t>PONTO DE PRODUÇÃO</t>
  </si>
  <si>
    <t>MRT = MARKET RATE</t>
  </si>
  <si>
    <t>PONTO DE CONSUMO</t>
  </si>
  <si>
    <t>MRS = MARKET RATE</t>
  </si>
  <si>
    <t>Q de Tobin</t>
  </si>
  <si>
    <t>VPL (A)</t>
  </si>
  <si>
    <t>&gt;3</t>
  </si>
  <si>
    <t>VPL (B)</t>
  </si>
  <si>
    <t>Perpetuidade sem crescimento em t=0</t>
  </si>
  <si>
    <t>VP = FC perpetuo em t=1/I em decimal</t>
  </si>
  <si>
    <t>Perpetuidade com crescimento em t=0</t>
  </si>
  <si>
    <t xml:space="preserve">VP = FC perpetuo em t=1/(i-g) onde g é a taxa de crescimento necessária do fluxo </t>
  </si>
  <si>
    <t xml:space="preserve">Lucro trimestral </t>
  </si>
  <si>
    <t xml:space="preserve">Indice P/L </t>
  </si>
  <si>
    <t>VPL perpetuo (A)</t>
  </si>
  <si>
    <t>VPL perpetuo (B)</t>
  </si>
  <si>
    <t>VPL simples (A)</t>
  </si>
  <si>
    <t>VPL simples (B)</t>
  </si>
  <si>
    <t>Como avaliar a melhor combinação de projetos sob Racionamento de Capital usando o Índice de Rentabilidade (ou Q de Tobin)?</t>
  </si>
  <si>
    <t>IR ou Q de Tobin</t>
  </si>
  <si>
    <t>Taxa de Desconto ou Custo de Capital</t>
  </si>
  <si>
    <t>Cenário 1</t>
  </si>
  <si>
    <t>Aplicar num fundo a 10% ao ano</t>
  </si>
  <si>
    <t>Cenário 2</t>
  </si>
  <si>
    <t>Abrir uma padaria (custo de capital com risco)</t>
  </si>
  <si>
    <t>CAPM = rf + (Rm - rf)*beta</t>
  </si>
  <si>
    <t>onde beta = cov (padaria; Rm) / variancia (Rm)</t>
  </si>
  <si>
    <t>Não oscila</t>
  </si>
  <si>
    <t>Oscila exatamente como a bolsa (cov perfeita positiva)</t>
  </si>
  <si>
    <t>Oscila menos que a bolsa</t>
  </si>
  <si>
    <t>Oscila com cov negativa em relacao  bolsa</t>
  </si>
  <si>
    <t>Início = risco zero</t>
  </si>
  <si>
    <t>Fim = risco maximo</t>
  </si>
  <si>
    <t>Seguro</t>
  </si>
  <si>
    <t>corr = 0</t>
  </si>
  <si>
    <t>corr =1</t>
  </si>
  <si>
    <t>0&lt;corr&lt;1</t>
  </si>
  <si>
    <t>corr &lt; 0</t>
  </si>
  <si>
    <t>….</t>
  </si>
  <si>
    <t>rf oscila com os prazos</t>
  </si>
  <si>
    <t>Títulos</t>
  </si>
  <si>
    <t>A (1 ano)</t>
  </si>
  <si>
    <t>B (2 anos)</t>
  </si>
  <si>
    <t>C (3 anos)</t>
  </si>
  <si>
    <t>_______________________________________________</t>
  </si>
  <si>
    <t>f(1,2)</t>
  </si>
  <si>
    <t>f(2,3)</t>
  </si>
  <si>
    <t>________________</t>
  </si>
  <si>
    <t>________________________________</t>
  </si>
  <si>
    <t>Taxas a termo (juros simples)</t>
  </si>
  <si>
    <t>Taxas a termo ou forward (juros compostos)</t>
  </si>
  <si>
    <t>Taxas Spot (0,t)</t>
  </si>
  <si>
    <t>Título 1</t>
  </si>
  <si>
    <t xml:space="preserve">PV = </t>
  </si>
  <si>
    <t>Título 2</t>
  </si>
  <si>
    <t>?</t>
  </si>
  <si>
    <t xml:space="preserve">FV(2) = </t>
  </si>
  <si>
    <t>FV (1) =</t>
  </si>
  <si>
    <t>Taxas spot</t>
  </si>
  <si>
    <t>Taxas forward</t>
  </si>
  <si>
    <t xml:space="preserve">coupon (1) = </t>
  </si>
  <si>
    <t xml:space="preserve">PMT = </t>
  </si>
  <si>
    <t>(estimado pelo CAPM)</t>
  </si>
  <si>
    <t>(taxa básica de juros da economia)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</si>
</sst>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#,##0.00_);[Red]\(&quot;R$&quot;#,##0.00\)"/>
    <numFmt numFmtId="164" formatCode="_(&quot;R$ &quot;* #,##0.00_);_(&quot;R$ &quot;* \(#,##0.00\);_(&quot;R$ &quot;* &quot;-&quot;??_);_(@_)"/>
    <numFmt numFmtId="165" formatCode="0.0%"/>
    <numFmt numFmtId="166" formatCode="0.0000"/>
    <numFmt numFmtId="167" formatCode="#,##0.000"/>
    <numFmt numFmtId="168" formatCode="0.000"/>
    <numFmt numFmtId="169" formatCode="0.0000000"/>
    <numFmt numFmtId="170" formatCode="&quot;R$&quot;#,##0.00"/>
    <numFmt numFmtId="171" formatCode="0.00000%"/>
  </numFmts>
  <fonts count="35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8"/>
      <color indexed="30"/>
      <name val="Arial"/>
      <family val="2"/>
    </font>
    <font>
      <b/>
      <sz val="8"/>
      <name val="Arial"/>
      <family val="2"/>
    </font>
    <font>
      <b/>
      <sz val="8"/>
      <color indexed="48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1"/>
      <color indexed="8"/>
      <name val="Calibri"/>
      <family val="2"/>
    </font>
    <font>
      <b/>
      <sz val="14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vertAlign val="superscript"/>
      <sz val="12"/>
      <name val="Arial"/>
      <family val="2"/>
    </font>
    <font>
      <sz val="6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0"/>
      <color rgb="FF0070C0"/>
      <name val="Arial"/>
      <family val="2"/>
    </font>
    <font>
      <sz val="10"/>
      <color rgb="FFC00000"/>
      <name val="Arial"/>
      <family val="2"/>
    </font>
    <font>
      <sz val="12"/>
      <color rgb="FFC00000"/>
      <name val="Arial"/>
      <family val="2"/>
    </font>
    <font>
      <sz val="12"/>
      <color theme="1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10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2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1" fillId="0" borderId="0" applyFont="0" applyFill="0" applyBorder="0" applyAlignment="0" applyProtection="0"/>
    <xf numFmtId="0" fontId="2" fillId="0" borderId="0"/>
    <xf numFmtId="0" fontId="24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09">
    <xf numFmtId="0" fontId="0" fillId="0" borderId="0" xfId="0"/>
    <xf numFmtId="0" fontId="7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wrapText="1"/>
    </xf>
    <xf numFmtId="4" fontId="6" fillId="0" borderId="1" xfId="0" applyNumberFormat="1" applyFont="1" applyFill="1" applyBorder="1" applyAlignment="1">
      <alignment horizontal="center" vertical="top" wrapText="1"/>
    </xf>
    <xf numFmtId="10" fontId="4" fillId="0" borderId="0" xfId="5" applyNumberFormat="1" applyFont="1"/>
    <xf numFmtId="0" fontId="4" fillId="0" borderId="1" xfId="0" applyFont="1" applyFill="1" applyBorder="1" applyAlignment="1">
      <alignment wrapText="1"/>
    </xf>
    <xf numFmtId="4" fontId="4" fillId="0" borderId="1" xfId="0" applyNumberFormat="1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vertical="top" wrapText="1"/>
    </xf>
    <xf numFmtId="4" fontId="6" fillId="0" borderId="2" xfId="0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4" fontId="6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wrapText="1"/>
    </xf>
    <xf numFmtId="4" fontId="4" fillId="0" borderId="1" xfId="0" applyNumberFormat="1" applyFont="1" applyBorder="1" applyAlignment="1">
      <alignment horizontal="center" vertical="top" wrapText="1"/>
    </xf>
    <xf numFmtId="0" fontId="8" fillId="0" borderId="3" xfId="0" applyFont="1" applyFill="1" applyBorder="1" applyAlignment="1">
      <alignment wrapText="1"/>
    </xf>
    <xf numFmtId="10" fontId="4" fillId="0" borderId="4" xfId="5" applyNumberFormat="1" applyFont="1" applyBorder="1"/>
    <xf numFmtId="10" fontId="4" fillId="0" borderId="5" xfId="5" applyNumberFormat="1" applyFont="1" applyBorder="1"/>
    <xf numFmtId="0" fontId="4" fillId="0" borderId="6" xfId="0" applyFont="1" applyFill="1" applyBorder="1" applyAlignment="1">
      <alignment wrapText="1"/>
    </xf>
    <xf numFmtId="10" fontId="4" fillId="0" borderId="0" xfId="5" applyNumberFormat="1" applyFont="1" applyBorder="1"/>
    <xf numFmtId="10" fontId="4" fillId="0" borderId="7" xfId="5" applyNumberFormat="1" applyFont="1" applyBorder="1"/>
    <xf numFmtId="10" fontId="0" fillId="0" borderId="0" xfId="5" applyNumberFormat="1" applyFont="1"/>
    <xf numFmtId="2" fontId="4" fillId="0" borderId="0" xfId="0" applyNumberFormat="1" applyFont="1" applyBorder="1"/>
    <xf numFmtId="2" fontId="4" fillId="0" borderId="7" xfId="0" applyNumberFormat="1" applyFont="1" applyBorder="1"/>
    <xf numFmtId="0" fontId="0" fillId="0" borderId="6" xfId="0" applyBorder="1"/>
    <xf numFmtId="0" fontId="4" fillId="0" borderId="0" xfId="0" applyFont="1" applyBorder="1"/>
    <xf numFmtId="0" fontId="4" fillId="0" borderId="7" xfId="0" applyFont="1" applyBorder="1"/>
    <xf numFmtId="0" fontId="8" fillId="0" borderId="6" xfId="0" applyFont="1" applyFill="1" applyBorder="1" applyAlignment="1">
      <alignment wrapText="1"/>
    </xf>
    <xf numFmtId="0" fontId="8" fillId="0" borderId="6" xfId="0" applyFont="1" applyBorder="1"/>
    <xf numFmtId="166" fontId="4" fillId="0" borderId="0" xfId="5" applyNumberFormat="1" applyFont="1" applyBorder="1"/>
    <xf numFmtId="166" fontId="4" fillId="0" borderId="7" xfId="5" applyNumberFormat="1" applyFont="1" applyBorder="1"/>
    <xf numFmtId="4" fontId="4" fillId="0" borderId="0" xfId="0" applyNumberFormat="1" applyFont="1" applyBorder="1"/>
    <xf numFmtId="4" fontId="4" fillId="0" borderId="7" xfId="0" applyNumberFormat="1" applyFont="1" applyBorder="1"/>
    <xf numFmtId="0" fontId="0" fillId="0" borderId="0" xfId="0" applyBorder="1"/>
    <xf numFmtId="0" fontId="0" fillId="0" borderId="7" xfId="0" applyBorder="1"/>
    <xf numFmtId="1" fontId="4" fillId="0" borderId="0" xfId="0" applyNumberFormat="1" applyFont="1" applyBorder="1"/>
    <xf numFmtId="1" fontId="4" fillId="0" borderId="7" xfId="0" applyNumberFormat="1" applyFont="1" applyBorder="1"/>
    <xf numFmtId="0" fontId="8" fillId="0" borderId="8" xfId="0" applyFont="1" applyBorder="1"/>
    <xf numFmtId="1" fontId="4" fillId="0" borderId="9" xfId="0" applyNumberFormat="1" applyFont="1" applyBorder="1"/>
    <xf numFmtId="1" fontId="4" fillId="0" borderId="10" xfId="0" applyNumberFormat="1" applyFont="1" applyBorder="1"/>
    <xf numFmtId="0" fontId="9" fillId="0" borderId="0" xfId="0" applyFont="1"/>
    <xf numFmtId="0" fontId="5" fillId="0" borderId="0" xfId="0" applyFont="1"/>
    <xf numFmtId="0" fontId="10" fillId="0" borderId="0" xfId="0" applyFont="1"/>
    <xf numFmtId="0" fontId="4" fillId="0" borderId="0" xfId="0" applyFont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3" fontId="4" fillId="0" borderId="0" xfId="0" applyNumberFormat="1" applyFont="1"/>
    <xf numFmtId="0" fontId="2" fillId="0" borderId="0" xfId="0" applyFont="1"/>
    <xf numFmtId="0" fontId="12" fillId="3" borderId="0" xfId="2" applyFont="1" applyFill="1"/>
    <xf numFmtId="0" fontId="2" fillId="3" borderId="0" xfId="2" applyFill="1"/>
    <xf numFmtId="0" fontId="2" fillId="0" borderId="0" xfId="2"/>
    <xf numFmtId="0" fontId="12" fillId="2" borderId="0" xfId="2" applyFont="1" applyFill="1"/>
    <xf numFmtId="0" fontId="13" fillId="4" borderId="0" xfId="2" applyFont="1" applyFill="1"/>
    <xf numFmtId="0" fontId="2" fillId="4" borderId="0" xfId="2" applyFill="1"/>
    <xf numFmtId="0" fontId="2" fillId="0" borderId="13" xfId="2" applyBorder="1"/>
    <xf numFmtId="0" fontId="2" fillId="0" borderId="14" xfId="2" applyBorder="1"/>
    <xf numFmtId="0" fontId="10" fillId="0" borderId="15" xfId="2" applyFont="1" applyBorder="1"/>
    <xf numFmtId="17" fontId="10" fillId="0" borderId="15" xfId="2" quotePrefix="1" applyNumberFormat="1" applyFont="1" applyBorder="1"/>
    <xf numFmtId="3" fontId="2" fillId="0" borderId="0" xfId="2" applyNumberFormat="1"/>
    <xf numFmtId="0" fontId="3" fillId="0" borderId="0" xfId="2" applyFont="1"/>
    <xf numFmtId="3" fontId="3" fillId="0" borderId="0" xfId="2" applyNumberFormat="1" applyFont="1"/>
    <xf numFmtId="0" fontId="2" fillId="0" borderId="9" xfId="2" applyBorder="1"/>
    <xf numFmtId="3" fontId="2" fillId="0" borderId="9" xfId="2" applyNumberFormat="1" applyBorder="1"/>
    <xf numFmtId="0" fontId="10" fillId="0" borderId="0" xfId="2" applyFont="1" applyBorder="1"/>
    <xf numFmtId="3" fontId="10" fillId="0" borderId="0" xfId="2" quotePrefix="1" applyNumberFormat="1" applyFont="1" applyBorder="1"/>
    <xf numFmtId="0" fontId="10" fillId="0" borderId="0" xfId="2" applyFont="1"/>
    <xf numFmtId="3" fontId="10" fillId="0" borderId="0" xfId="2" applyNumberFormat="1" applyFont="1"/>
    <xf numFmtId="0" fontId="10" fillId="0" borderId="9" xfId="2" applyFont="1" applyBorder="1"/>
    <xf numFmtId="3" fontId="10" fillId="0" borderId="9" xfId="2" applyNumberFormat="1" applyFont="1" applyBorder="1"/>
    <xf numFmtId="0" fontId="14" fillId="4" borderId="0" xfId="2" applyFont="1" applyFill="1"/>
    <xf numFmtId="0" fontId="2" fillId="0" borderId="3" xfId="2" applyBorder="1"/>
    <xf numFmtId="0" fontId="2" fillId="0" borderId="5" xfId="2" applyBorder="1"/>
    <xf numFmtId="0" fontId="2" fillId="0" borderId="6" xfId="2" applyFont="1" applyBorder="1"/>
    <xf numFmtId="3" fontId="3" fillId="0" borderId="7" xfId="2" applyNumberFormat="1" applyFont="1" applyBorder="1"/>
    <xf numFmtId="0" fontId="2" fillId="0" borderId="8" xfId="2" applyBorder="1"/>
    <xf numFmtId="0" fontId="2" fillId="0" borderId="10" xfId="2" applyBorder="1"/>
    <xf numFmtId="0" fontId="10" fillId="0" borderId="15" xfId="2" applyFont="1" applyFill="1" applyBorder="1"/>
    <xf numFmtId="0" fontId="2" fillId="0" borderId="15" xfId="2" applyBorder="1"/>
    <xf numFmtId="0" fontId="2" fillId="0" borderId="0" xfId="2" applyFill="1" applyBorder="1"/>
    <xf numFmtId="0" fontId="2" fillId="0" borderId="9" xfId="2" applyFill="1" applyBorder="1"/>
    <xf numFmtId="0" fontId="3" fillId="0" borderId="0" xfId="2" applyFont="1" applyFill="1" applyBorder="1"/>
    <xf numFmtId="0" fontId="10" fillId="0" borderId="0" xfId="2" applyFont="1" applyFill="1" applyBorder="1"/>
    <xf numFmtId="3" fontId="10" fillId="0" borderId="0" xfId="2" applyNumberFormat="1" applyFont="1" applyBorder="1"/>
    <xf numFmtId="0" fontId="15" fillId="4" borderId="0" xfId="2" applyFont="1" applyFill="1"/>
    <xf numFmtId="0" fontId="2" fillId="0" borderId="11" xfId="2" applyBorder="1"/>
    <xf numFmtId="0" fontId="2" fillId="0" borderId="13" xfId="2" applyBorder="1" applyAlignment="1">
      <alignment horizontal="centerContinuous" vertical="justify"/>
    </xf>
    <xf numFmtId="0" fontId="2" fillId="0" borderId="15" xfId="2" applyBorder="1" applyAlignment="1">
      <alignment horizontal="centerContinuous" vertical="justify"/>
    </xf>
    <xf numFmtId="0" fontId="2" fillId="0" borderId="11" xfId="2" applyBorder="1" applyAlignment="1">
      <alignment horizontal="center"/>
    </xf>
    <xf numFmtId="0" fontId="2" fillId="0" borderId="12" xfId="2" applyBorder="1"/>
    <xf numFmtId="0" fontId="2" fillId="0" borderId="16" xfId="2" applyBorder="1" applyAlignment="1">
      <alignment horizontal="center"/>
    </xf>
    <xf numFmtId="0" fontId="2" fillId="0" borderId="13" xfId="2" applyBorder="1" applyAlignment="1">
      <alignment horizontal="center"/>
    </xf>
    <xf numFmtId="3" fontId="2" fillId="0" borderId="0" xfId="2" applyNumberFormat="1" applyAlignment="1">
      <alignment horizontal="right"/>
    </xf>
    <xf numFmtId="3" fontId="2" fillId="0" borderId="9" xfId="2" applyNumberFormat="1" applyBorder="1" applyAlignment="1">
      <alignment horizontal="right"/>
    </xf>
    <xf numFmtId="10" fontId="2" fillId="0" borderId="0" xfId="2" applyNumberFormat="1"/>
    <xf numFmtId="10" fontId="0" fillId="0" borderId="0" xfId="8" applyNumberFormat="1" applyFont="1"/>
    <xf numFmtId="0" fontId="2" fillId="0" borderId="0" xfId="2" applyBorder="1"/>
    <xf numFmtId="0" fontId="2" fillId="0" borderId="0" xfId="2" applyBorder="1" applyAlignment="1">
      <alignment horizontal="centerContinuous"/>
    </xf>
    <xf numFmtId="0" fontId="2" fillId="0" borderId="0" xfId="2" applyBorder="1" applyAlignment="1">
      <alignment horizontal="center"/>
    </xf>
    <xf numFmtId="0" fontId="2" fillId="0" borderId="0" xfId="2" applyFill="1" applyBorder="1" applyAlignment="1">
      <alignment horizontal="center"/>
    </xf>
    <xf numFmtId="3" fontId="2" fillId="0" borderId="0" xfId="2" applyNumberFormat="1" applyBorder="1" applyAlignment="1">
      <alignment horizontal="right"/>
    </xf>
    <xf numFmtId="3" fontId="2" fillId="0" borderId="0" xfId="2" applyNumberFormat="1" applyBorder="1"/>
    <xf numFmtId="3" fontId="3" fillId="0" borderId="0" xfId="2" applyNumberFormat="1" applyFont="1" applyBorder="1"/>
    <xf numFmtId="0" fontId="16" fillId="0" borderId="0" xfId="2" applyFont="1"/>
    <xf numFmtId="3" fontId="16" fillId="0" borderId="0" xfId="2" applyNumberFormat="1" applyFont="1"/>
    <xf numFmtId="3" fontId="3" fillId="4" borderId="0" xfId="2" applyNumberFormat="1" applyFont="1" applyFill="1"/>
    <xf numFmtId="4" fontId="2" fillId="0" borderId="0" xfId="2" applyNumberFormat="1"/>
    <xf numFmtId="2" fontId="2" fillId="0" borderId="0" xfId="2" applyNumberFormat="1"/>
    <xf numFmtId="9" fontId="0" fillId="0" borderId="0" xfId="8" applyFont="1" applyBorder="1" applyAlignment="1">
      <alignment horizontal="right"/>
    </xf>
    <xf numFmtId="9" fontId="0" fillId="0" borderId="0" xfId="8" applyNumberFormat="1" applyFont="1" applyBorder="1" applyAlignment="1">
      <alignment horizontal="right"/>
    </xf>
    <xf numFmtId="9" fontId="0" fillId="0" borderId="9" xfId="8" applyFont="1" applyBorder="1" applyAlignment="1">
      <alignment horizontal="right"/>
    </xf>
    <xf numFmtId="9" fontId="2" fillId="0" borderId="0" xfId="5" applyFont="1"/>
    <xf numFmtId="167" fontId="2" fillId="0" borderId="0" xfId="2" applyNumberFormat="1" applyBorder="1"/>
    <xf numFmtId="0" fontId="3" fillId="0" borderId="0" xfId="2" applyFont="1" applyBorder="1"/>
    <xf numFmtId="3" fontId="2" fillId="0" borderId="0" xfId="2" applyNumberFormat="1" applyBorder="1" applyAlignment="1">
      <alignment horizontal="center"/>
    </xf>
    <xf numFmtId="4" fontId="2" fillId="0" borderId="9" xfId="2" applyNumberFormat="1" applyBorder="1"/>
    <xf numFmtId="4" fontId="3" fillId="0" borderId="0" xfId="2" applyNumberFormat="1" applyFont="1" applyBorder="1"/>
    <xf numFmtId="4" fontId="2" fillId="0" borderId="0" xfId="2" applyNumberFormat="1" applyBorder="1"/>
    <xf numFmtId="0" fontId="2" fillId="0" borderId="9" xfId="2" applyFont="1" applyBorder="1"/>
    <xf numFmtId="3" fontId="2" fillId="0" borderId="9" xfId="2" applyNumberFormat="1" applyFont="1" applyBorder="1"/>
    <xf numFmtId="3" fontId="2" fillId="0" borderId="0" xfId="2" applyNumberFormat="1" applyFill="1" applyBorder="1" applyAlignment="1">
      <alignment horizontal="center"/>
    </xf>
    <xf numFmtId="167" fontId="3" fillId="0" borderId="0" xfId="2" applyNumberFormat="1" applyFont="1" applyBorder="1"/>
    <xf numFmtId="0" fontId="2" fillId="0" borderId="0" xfId="2" applyFont="1" applyFill="1" applyBorder="1"/>
    <xf numFmtId="0" fontId="2" fillId="0" borderId="0" xfId="2" applyFont="1" applyBorder="1"/>
    <xf numFmtId="167" fontId="2" fillId="0" borderId="0" xfId="2" applyNumberFormat="1" applyFont="1" applyBorder="1"/>
    <xf numFmtId="0" fontId="5" fillId="0" borderId="0" xfId="2" applyFont="1" applyFill="1" applyBorder="1"/>
    <xf numFmtId="0" fontId="17" fillId="0" borderId="0" xfId="2" applyFont="1" applyBorder="1"/>
    <xf numFmtId="3" fontId="2" fillId="0" borderId="0" xfId="2" applyNumberFormat="1" applyFont="1" applyBorder="1"/>
    <xf numFmtId="0" fontId="2" fillId="0" borderId="11" xfId="2" applyFill="1" applyBorder="1" applyAlignment="1">
      <alignment horizontal="center"/>
    </xf>
    <xf numFmtId="0" fontId="2" fillId="0" borderId="12" xfId="2" applyBorder="1" applyAlignment="1">
      <alignment horizontal="center"/>
    </xf>
    <xf numFmtId="0" fontId="2" fillId="0" borderId="12" xfId="2" applyFill="1" applyBorder="1" applyAlignment="1">
      <alignment horizontal="center"/>
    </xf>
    <xf numFmtId="0" fontId="2" fillId="0" borderId="17" xfId="2" applyFill="1" applyBorder="1" applyAlignment="1">
      <alignment horizontal="center"/>
    </xf>
    <xf numFmtId="4" fontId="2" fillId="0" borderId="0" xfId="2" applyNumberFormat="1" applyBorder="1" applyAlignment="1">
      <alignment horizontal="right"/>
    </xf>
    <xf numFmtId="4" fontId="2" fillId="0" borderId="0" xfId="2" applyNumberFormat="1" applyFill="1" applyBorder="1"/>
    <xf numFmtId="2" fontId="2" fillId="0" borderId="3" xfId="2" applyNumberFormat="1" applyBorder="1"/>
    <xf numFmtId="2" fontId="2" fillId="0" borderId="11" xfId="2" applyNumberFormat="1" applyBorder="1"/>
    <xf numFmtId="2" fontId="2" fillId="0" borderId="6" xfId="2" applyNumberFormat="1" applyBorder="1"/>
    <xf numFmtId="2" fontId="2" fillId="0" borderId="17" xfId="2" applyNumberFormat="1" applyBorder="1"/>
    <xf numFmtId="4" fontId="2" fillId="0" borderId="9" xfId="2" applyNumberFormat="1" applyBorder="1" applyAlignment="1">
      <alignment horizontal="right"/>
    </xf>
    <xf numFmtId="4" fontId="2" fillId="0" borderId="9" xfId="2" applyNumberFormat="1" applyFill="1" applyBorder="1"/>
    <xf numFmtId="2" fontId="2" fillId="0" borderId="8" xfId="2" applyNumberFormat="1" applyBorder="1"/>
    <xf numFmtId="2" fontId="2" fillId="0" borderId="12" xfId="2" applyNumberFormat="1" applyBorder="1"/>
    <xf numFmtId="0" fontId="0" fillId="0" borderId="15" xfId="0" applyBorder="1"/>
    <xf numFmtId="3" fontId="0" fillId="0" borderId="15" xfId="0" applyNumberFormat="1" applyBorder="1"/>
    <xf numFmtId="3" fontId="10" fillId="0" borderId="0" xfId="0" applyNumberFormat="1" applyFont="1"/>
    <xf numFmtId="3" fontId="0" fillId="0" borderId="0" xfId="0" applyNumberFormat="1"/>
    <xf numFmtId="0" fontId="3" fillId="0" borderId="0" xfId="0" applyFont="1"/>
    <xf numFmtId="9" fontId="3" fillId="0" borderId="0" xfId="5" applyFont="1"/>
    <xf numFmtId="9" fontId="3" fillId="0" borderId="0" xfId="5" applyFont="1" applyAlignment="1">
      <alignment horizontal="right"/>
    </xf>
    <xf numFmtId="2" fontId="0" fillId="0" borderId="0" xfId="0" applyNumberFormat="1"/>
    <xf numFmtId="0" fontId="2" fillId="0" borderId="15" xfId="0" applyFont="1" applyBorder="1"/>
    <xf numFmtId="3" fontId="2" fillId="0" borderId="15" xfId="0" applyNumberFormat="1" applyFont="1" applyBorder="1"/>
    <xf numFmtId="9" fontId="2" fillId="0" borderId="15" xfId="5" applyFont="1" applyBorder="1" applyAlignment="1">
      <alignment horizontal="right"/>
    </xf>
    <xf numFmtId="9" fontId="2" fillId="0" borderId="15" xfId="5" applyFont="1" applyBorder="1"/>
    <xf numFmtId="3" fontId="3" fillId="0" borderId="0" xfId="0" applyNumberFormat="1" applyFont="1"/>
    <xf numFmtId="2" fontId="3" fillId="0" borderId="0" xfId="0" applyNumberFormat="1" applyFont="1"/>
    <xf numFmtId="2" fontId="2" fillId="0" borderId="15" xfId="0" applyNumberFormat="1" applyFont="1" applyBorder="1"/>
    <xf numFmtId="0" fontId="3" fillId="0" borderId="0" xfId="0" applyFont="1" applyBorder="1"/>
    <xf numFmtId="3" fontId="2" fillId="0" borderId="0" xfId="0" applyNumberFormat="1" applyFont="1" applyBorder="1"/>
    <xf numFmtId="2" fontId="2" fillId="0" borderId="0" xfId="0" applyNumberFormat="1" applyFont="1" applyBorder="1"/>
    <xf numFmtId="0" fontId="3" fillId="0" borderId="0" xfId="0" applyFont="1" applyFill="1" applyBorder="1"/>
    <xf numFmtId="0" fontId="2" fillId="0" borderId="0" xfId="0" applyFont="1" applyBorder="1"/>
    <xf numFmtId="3" fontId="16" fillId="0" borderId="0" xfId="0" applyNumberFormat="1" applyFont="1"/>
    <xf numFmtId="1" fontId="3" fillId="0" borderId="0" xfId="0" applyNumberFormat="1" applyFont="1"/>
    <xf numFmtId="4" fontId="0" fillId="0" borderId="0" xfId="0" applyNumberFormat="1"/>
    <xf numFmtId="0" fontId="0" fillId="0" borderId="9" xfId="0" applyBorder="1"/>
    <xf numFmtId="3" fontId="2" fillId="0" borderId="0" xfId="0" applyNumberFormat="1" applyFont="1"/>
    <xf numFmtId="2" fontId="2" fillId="0" borderId="0" xfId="0" applyNumberFormat="1" applyFont="1"/>
    <xf numFmtId="0" fontId="2" fillId="0" borderId="4" xfId="2" applyBorder="1"/>
    <xf numFmtId="9" fontId="2" fillId="0" borderId="4" xfId="8" applyBorder="1"/>
    <xf numFmtId="9" fontId="2" fillId="0" borderId="5" xfId="8" applyBorder="1"/>
    <xf numFmtId="9" fontId="2" fillId="0" borderId="9" xfId="8" applyBorder="1"/>
    <xf numFmtId="9" fontId="2" fillId="0" borderId="10" xfId="8" applyBorder="1"/>
    <xf numFmtId="9" fontId="2" fillId="0" borderId="15" xfId="8" applyBorder="1"/>
    <xf numFmtId="9" fontId="2" fillId="0" borderId="14" xfId="8" applyBorder="1"/>
    <xf numFmtId="9" fontId="2" fillId="0" borderId="4" xfId="8" applyFont="1" applyBorder="1"/>
    <xf numFmtId="9" fontId="2" fillId="0" borderId="5" xfId="8" applyFont="1" applyBorder="1"/>
    <xf numFmtId="9" fontId="2" fillId="0" borderId="9" xfId="8" applyFont="1" applyBorder="1"/>
    <xf numFmtId="9" fontId="2" fillId="0" borderId="10" xfId="8" applyFont="1" applyBorder="1"/>
    <xf numFmtId="3" fontId="3" fillId="0" borderId="9" xfId="2" applyNumberFormat="1" applyFont="1" applyBorder="1"/>
    <xf numFmtId="3" fontId="17" fillId="0" borderId="0" xfId="2" applyNumberFormat="1" applyFont="1"/>
    <xf numFmtId="9" fontId="16" fillId="0" borderId="0" xfId="8" applyFont="1"/>
    <xf numFmtId="165" fontId="2" fillId="0" borderId="0" xfId="8" applyNumberFormat="1"/>
    <xf numFmtId="0" fontId="18" fillId="0" borderId="0" xfId="0" applyFont="1"/>
    <xf numFmtId="0" fontId="9" fillId="5" borderId="18" xfId="0" applyFont="1" applyFill="1" applyBorder="1"/>
    <xf numFmtId="0" fontId="18" fillId="5" borderId="18" xfId="0" applyFont="1" applyFill="1" applyBorder="1"/>
    <xf numFmtId="0" fontId="18" fillId="0" borderId="0" xfId="0" applyFont="1" applyAlignment="1">
      <alignment horizontal="right"/>
    </xf>
    <xf numFmtId="0" fontId="18" fillId="6" borderId="0" xfId="0" applyFont="1" applyFill="1" applyAlignment="1">
      <alignment horizontal="left"/>
    </xf>
    <xf numFmtId="0" fontId="18" fillId="6" borderId="0" xfId="0" applyFont="1" applyFill="1"/>
    <xf numFmtId="9" fontId="18" fillId="0" borderId="0" xfId="0" applyNumberFormat="1" applyFont="1"/>
    <xf numFmtId="9" fontId="18" fillId="6" borderId="0" xfId="0" applyNumberFormat="1" applyFont="1" applyFill="1"/>
    <xf numFmtId="8" fontId="18" fillId="0" borderId="0" xfId="0" applyNumberFormat="1" applyFont="1"/>
    <xf numFmtId="8" fontId="18" fillId="6" borderId="0" xfId="0" applyNumberFormat="1" applyFont="1" applyFill="1"/>
    <xf numFmtId="9" fontId="18" fillId="0" borderId="0" xfId="6" applyNumberFormat="1" applyFont="1"/>
    <xf numFmtId="9" fontId="18" fillId="6" borderId="0" xfId="6" applyNumberFormat="1" applyFont="1" applyFill="1"/>
    <xf numFmtId="0" fontId="25" fillId="0" borderId="0" xfId="0" applyFont="1"/>
    <xf numFmtId="0" fontId="25" fillId="7" borderId="0" xfId="0" applyFont="1" applyFill="1"/>
    <xf numFmtId="2" fontId="18" fillId="0" borderId="0" xfId="0" applyNumberFormat="1" applyFont="1"/>
    <xf numFmtId="168" fontId="18" fillId="0" borderId="0" xfId="0" applyNumberFormat="1" applyFont="1"/>
    <xf numFmtId="0" fontId="18" fillId="0" borderId="0" xfId="0" quotePrefix="1" applyFont="1" applyAlignment="1">
      <alignment horizontal="right"/>
    </xf>
    <xf numFmtId="168" fontId="18" fillId="6" borderId="0" xfId="0" applyNumberFormat="1" applyFont="1" applyFill="1"/>
    <xf numFmtId="0" fontId="18" fillId="6" borderId="0" xfId="0" applyFont="1" applyFill="1" applyAlignment="1">
      <alignment horizontal="right"/>
    </xf>
    <xf numFmtId="0" fontId="9" fillId="5" borderId="19" xfId="0" applyFont="1" applyFill="1" applyBorder="1"/>
    <xf numFmtId="0" fontId="18" fillId="5" borderId="20" xfId="0" applyFont="1" applyFill="1" applyBorder="1"/>
    <xf numFmtId="0" fontId="18" fillId="5" borderId="21" xfId="0" applyFont="1" applyFill="1" applyBorder="1"/>
    <xf numFmtId="0" fontId="9" fillId="5" borderId="22" xfId="0" applyFont="1" applyFill="1" applyBorder="1"/>
    <xf numFmtId="0" fontId="18" fillId="5" borderId="0" xfId="0" applyFont="1" applyFill="1" applyBorder="1"/>
    <xf numFmtId="0" fontId="18" fillId="5" borderId="23" xfId="0" applyFont="1" applyFill="1" applyBorder="1"/>
    <xf numFmtId="0" fontId="9" fillId="5" borderId="24" xfId="0" applyFont="1" applyFill="1" applyBorder="1"/>
    <xf numFmtId="0" fontId="18" fillId="5" borderId="25" xfId="0" applyFont="1" applyFill="1" applyBorder="1"/>
    <xf numFmtId="0" fontId="18" fillId="5" borderId="26" xfId="0" applyFont="1" applyFill="1" applyBorder="1"/>
    <xf numFmtId="0" fontId="18" fillId="0" borderId="15" xfId="0" applyFont="1" applyBorder="1"/>
    <xf numFmtId="0" fontId="18" fillId="0" borderId="15" xfId="0" applyFont="1" applyBorder="1" applyAlignment="1">
      <alignment horizontal="center"/>
    </xf>
    <xf numFmtId="0" fontId="19" fillId="0" borderId="0" xfId="0" applyFont="1" applyFill="1" applyBorder="1"/>
    <xf numFmtId="3" fontId="18" fillId="0" borderId="0" xfId="0" applyNumberFormat="1" applyFont="1"/>
    <xf numFmtId="0" fontId="9" fillId="0" borderId="0" xfId="0" applyFont="1" applyFill="1" applyBorder="1"/>
    <xf numFmtId="4" fontId="9" fillId="0" borderId="0" xfId="0" applyNumberFormat="1" applyFont="1"/>
    <xf numFmtId="0" fontId="18" fillId="0" borderId="0" xfId="0" applyFont="1" applyFill="1" applyBorder="1"/>
    <xf numFmtId="4" fontId="18" fillId="0" borderId="0" xfId="0" applyNumberFormat="1" applyFont="1"/>
    <xf numFmtId="4" fontId="9" fillId="0" borderId="0" xfId="0" applyNumberFormat="1" applyFont="1" applyBorder="1"/>
    <xf numFmtId="0" fontId="18" fillId="0" borderId="0" xfId="0" applyFont="1" applyBorder="1"/>
    <xf numFmtId="3" fontId="18" fillId="0" borderId="0" xfId="0" applyNumberFormat="1" applyFont="1" applyBorder="1"/>
    <xf numFmtId="4" fontId="18" fillId="0" borderId="0" xfId="0" applyNumberFormat="1" applyFont="1" applyBorder="1"/>
    <xf numFmtId="3" fontId="9" fillId="0" borderId="0" xfId="0" applyNumberFormat="1" applyFont="1" applyBorder="1"/>
    <xf numFmtId="0" fontId="19" fillId="0" borderId="15" xfId="0" applyFont="1" applyFill="1" applyBorder="1"/>
    <xf numFmtId="4" fontId="9" fillId="0" borderId="15" xfId="0" applyNumberFormat="1" applyFont="1" applyBorder="1"/>
    <xf numFmtId="3" fontId="9" fillId="0" borderId="0" xfId="0" applyNumberFormat="1" applyFont="1"/>
    <xf numFmtId="10" fontId="9" fillId="0" borderId="0" xfId="6" applyNumberFormat="1" applyFont="1"/>
    <xf numFmtId="0" fontId="9" fillId="0" borderId="9" xfId="0" applyFont="1" applyBorder="1"/>
    <xf numFmtId="3" fontId="9" fillId="0" borderId="9" xfId="0" applyNumberFormat="1" applyFont="1" applyBorder="1"/>
    <xf numFmtId="3" fontId="18" fillId="0" borderId="9" xfId="0" applyNumberFormat="1" applyFont="1" applyBorder="1"/>
    <xf numFmtId="9" fontId="18" fillId="0" borderId="0" xfId="6" applyFont="1"/>
    <xf numFmtId="2" fontId="18" fillId="6" borderId="0" xfId="0" applyNumberFormat="1" applyFont="1" applyFill="1"/>
    <xf numFmtId="2" fontId="18" fillId="7" borderId="0" xfId="0" applyNumberFormat="1" applyFont="1" applyFill="1" applyAlignment="1">
      <alignment horizontal="right"/>
    </xf>
    <xf numFmtId="1" fontId="0" fillId="0" borderId="0" xfId="0" applyNumberFormat="1"/>
    <xf numFmtId="0" fontId="25" fillId="0" borderId="0" xfId="0" applyFont="1" applyAlignment="1">
      <alignment horizontal="right"/>
    </xf>
    <xf numFmtId="0" fontId="26" fillId="8" borderId="20" xfId="0" applyFont="1" applyFill="1" applyBorder="1"/>
    <xf numFmtId="2" fontId="26" fillId="8" borderId="19" xfId="0" applyNumberFormat="1" applyFont="1" applyFill="1" applyBorder="1"/>
    <xf numFmtId="0" fontId="26" fillId="8" borderId="21" xfId="0" applyFont="1" applyFill="1" applyBorder="1"/>
    <xf numFmtId="2" fontId="26" fillId="8" borderId="24" xfId="0" applyNumberFormat="1" applyFont="1" applyFill="1" applyBorder="1"/>
    <xf numFmtId="0" fontId="26" fillId="8" borderId="25" xfId="0" applyFont="1" applyFill="1" applyBorder="1"/>
    <xf numFmtId="0" fontId="26" fillId="8" borderId="26" xfId="0" applyFont="1" applyFill="1" applyBorder="1"/>
    <xf numFmtId="9" fontId="0" fillId="0" borderId="0" xfId="4" applyFont="1"/>
    <xf numFmtId="0" fontId="2" fillId="6" borderId="0" xfId="0" applyFont="1" applyFill="1"/>
    <xf numFmtId="0" fontId="0" fillId="6" borderId="0" xfId="0" applyFill="1"/>
    <xf numFmtId="0" fontId="2" fillId="9" borderId="0" xfId="0" applyFont="1" applyFill="1"/>
    <xf numFmtId="9" fontId="22" fillId="9" borderId="0" xfId="4" applyFont="1" applyFill="1"/>
    <xf numFmtId="0" fontId="2" fillId="0" borderId="0" xfId="0" applyFont="1" applyAlignment="1">
      <alignment horizontal="right"/>
    </xf>
    <xf numFmtId="0" fontId="21" fillId="0" borderId="0" xfId="0" applyFont="1"/>
    <xf numFmtId="0" fontId="27" fillId="0" borderId="0" xfId="0" applyFont="1" applyAlignment="1">
      <alignment horizontal="right"/>
    </xf>
    <xf numFmtId="0" fontId="2" fillId="10" borderId="0" xfId="0" applyFont="1" applyFill="1"/>
    <xf numFmtId="9" fontId="22" fillId="10" borderId="0" xfId="4" applyFont="1" applyFill="1"/>
    <xf numFmtId="2" fontId="0" fillId="6" borderId="0" xfId="0" applyNumberFormat="1" applyFill="1"/>
    <xf numFmtId="0" fontId="0" fillId="9" borderId="0" xfId="0" applyFill="1"/>
    <xf numFmtId="9" fontId="0" fillId="0" borderId="0" xfId="0" applyNumberFormat="1"/>
    <xf numFmtId="0" fontId="2" fillId="0" borderId="0" xfId="0" quotePrefix="1" applyFont="1"/>
    <xf numFmtId="8" fontId="0" fillId="0" borderId="0" xfId="0" applyNumberFormat="1"/>
    <xf numFmtId="0" fontId="21" fillId="6" borderId="0" xfId="0" applyFont="1" applyFill="1"/>
    <xf numFmtId="9" fontId="22" fillId="6" borderId="0" xfId="4" applyFont="1" applyFill="1"/>
    <xf numFmtId="10" fontId="22" fillId="6" borderId="0" xfId="4" applyNumberFormat="1" applyFont="1" applyFill="1"/>
    <xf numFmtId="8" fontId="0" fillId="6" borderId="0" xfId="0" applyNumberFormat="1" applyFill="1"/>
    <xf numFmtId="9" fontId="0" fillId="6" borderId="0" xfId="0" applyNumberFormat="1" applyFill="1"/>
    <xf numFmtId="0" fontId="27" fillId="0" borderId="0" xfId="0" applyFont="1"/>
    <xf numFmtId="2" fontId="27" fillId="0" borderId="0" xfId="0" applyNumberFormat="1" applyFont="1"/>
    <xf numFmtId="0" fontId="28" fillId="0" borderId="0" xfId="0" applyFont="1" applyAlignment="1">
      <alignment horizontal="right"/>
    </xf>
    <xf numFmtId="0" fontId="29" fillId="0" borderId="0" xfId="0" applyFont="1"/>
    <xf numFmtId="170" fontId="29" fillId="0" borderId="0" xfId="0" applyNumberFormat="1" applyFont="1"/>
    <xf numFmtId="170" fontId="18" fillId="6" borderId="0" xfId="0" applyNumberFormat="1" applyFont="1" applyFill="1"/>
    <xf numFmtId="0" fontId="29" fillId="6" borderId="0" xfId="0" applyFont="1" applyFill="1"/>
    <xf numFmtId="8" fontId="30" fillId="6" borderId="0" xfId="0" applyNumberFormat="1" applyFont="1" applyFill="1"/>
    <xf numFmtId="1" fontId="18" fillId="0" borderId="0" xfId="0" applyNumberFormat="1" applyFont="1"/>
    <xf numFmtId="0" fontId="18" fillId="11" borderId="0" xfId="0" applyFont="1" applyFill="1" applyBorder="1"/>
    <xf numFmtId="0" fontId="18" fillId="11" borderId="25" xfId="0" applyFont="1" applyFill="1" applyBorder="1"/>
    <xf numFmtId="0" fontId="18" fillId="11" borderId="19" xfId="0" applyFont="1" applyFill="1" applyBorder="1" applyAlignment="1">
      <alignment horizontal="right"/>
    </xf>
    <xf numFmtId="0" fontId="18" fillId="11" borderId="20" xfId="0" applyFont="1" applyFill="1" applyBorder="1" applyAlignment="1">
      <alignment horizontal="right"/>
    </xf>
    <xf numFmtId="9" fontId="18" fillId="11" borderId="22" xfId="0" applyNumberFormat="1" applyFont="1" applyFill="1" applyBorder="1" applyAlignment="1">
      <alignment horizontal="right"/>
    </xf>
    <xf numFmtId="0" fontId="18" fillId="11" borderId="0" xfId="0" applyFont="1" applyFill="1" applyBorder="1" applyAlignment="1">
      <alignment horizontal="right"/>
    </xf>
    <xf numFmtId="0" fontId="18" fillId="11" borderId="24" xfId="0" applyFont="1" applyFill="1" applyBorder="1" applyAlignment="1">
      <alignment horizontal="right"/>
    </xf>
    <xf numFmtId="0" fontId="18" fillId="11" borderId="25" xfId="0" applyFont="1" applyFill="1" applyBorder="1" applyAlignment="1">
      <alignment horizontal="right"/>
    </xf>
    <xf numFmtId="0" fontId="18" fillId="12" borderId="20" xfId="0" applyFont="1" applyFill="1" applyBorder="1" applyAlignment="1">
      <alignment horizontal="right"/>
    </xf>
    <xf numFmtId="9" fontId="18" fillId="12" borderId="0" xfId="0" applyNumberFormat="1" applyFont="1" applyFill="1" applyBorder="1" applyAlignment="1">
      <alignment horizontal="right"/>
    </xf>
    <xf numFmtId="0" fontId="18" fillId="12" borderId="25" xfId="0" applyFont="1" applyFill="1" applyBorder="1" applyAlignment="1">
      <alignment horizontal="right"/>
    </xf>
    <xf numFmtId="0" fontId="18" fillId="13" borderId="21" xfId="0" applyFont="1" applyFill="1" applyBorder="1" applyAlignment="1">
      <alignment horizontal="right"/>
    </xf>
    <xf numFmtId="9" fontId="18" fillId="13" borderId="23" xfId="0" applyNumberFormat="1" applyFont="1" applyFill="1" applyBorder="1" applyAlignment="1">
      <alignment horizontal="right"/>
    </xf>
    <xf numFmtId="0" fontId="18" fillId="13" borderId="26" xfId="0" applyFont="1" applyFill="1" applyBorder="1" applyAlignment="1">
      <alignment horizontal="right"/>
    </xf>
    <xf numFmtId="165" fontId="18" fillId="0" borderId="0" xfId="4" applyNumberFormat="1" applyFont="1"/>
    <xf numFmtId="0" fontId="18" fillId="14" borderId="0" xfId="0" applyFont="1" applyFill="1"/>
    <xf numFmtId="9" fontId="18" fillId="14" borderId="0" xfId="0" applyNumberFormat="1" applyFont="1" applyFill="1"/>
    <xf numFmtId="165" fontId="18" fillId="0" borderId="0" xfId="0" applyNumberFormat="1" applyFont="1"/>
    <xf numFmtId="9" fontId="18" fillId="13" borderId="0" xfId="0" applyNumberFormat="1" applyFont="1" applyFill="1"/>
    <xf numFmtId="0" fontId="18" fillId="13" borderId="0" xfId="0" applyFont="1" applyFill="1"/>
    <xf numFmtId="0" fontId="18" fillId="13" borderId="0" xfId="0" applyFont="1" applyFill="1" applyAlignment="1">
      <alignment horizontal="right"/>
    </xf>
    <xf numFmtId="0" fontId="18" fillId="15" borderId="0" xfId="0" applyFont="1" applyFill="1"/>
    <xf numFmtId="0" fontId="18" fillId="15" borderId="0" xfId="0" applyFont="1" applyFill="1" applyAlignment="1">
      <alignment horizontal="right"/>
    </xf>
    <xf numFmtId="9" fontId="18" fillId="13" borderId="0" xfId="4" applyNumberFormat="1" applyFont="1" applyFill="1"/>
    <xf numFmtId="165" fontId="18" fillId="15" borderId="0" xfId="4" applyNumberFormat="1" applyFont="1" applyFill="1"/>
    <xf numFmtId="169" fontId="18" fillId="0" borderId="0" xfId="4" applyNumberFormat="1" applyFont="1"/>
    <xf numFmtId="0" fontId="18" fillId="16" borderId="0" xfId="0" applyFont="1" applyFill="1"/>
    <xf numFmtId="171" fontId="18" fillId="16" borderId="0" xfId="0" applyNumberFormat="1" applyFont="1" applyFill="1"/>
    <xf numFmtId="171" fontId="18" fillId="16" borderId="0" xfId="4" applyNumberFormat="1" applyFont="1" applyFill="1"/>
    <xf numFmtId="2" fontId="18" fillId="16" borderId="0" xfId="0" applyNumberFormat="1" applyFont="1" applyFill="1"/>
    <xf numFmtId="0" fontId="6" fillId="0" borderId="0" xfId="0" applyFont="1" applyFill="1" applyAlignment="1">
      <alignment horizontal="center" vertical="top" wrapText="1"/>
    </xf>
    <xf numFmtId="0" fontId="4" fillId="0" borderId="27" xfId="0" applyFont="1" applyFill="1" applyBorder="1" applyAlignment="1">
      <alignment horizontal="center" vertical="top" wrapText="1"/>
    </xf>
    <xf numFmtId="0" fontId="26" fillId="8" borderId="28" xfId="0" applyFont="1" applyFill="1" applyBorder="1" applyAlignment="1">
      <alignment horizontal="center"/>
    </xf>
    <xf numFmtId="0" fontId="26" fillId="8" borderId="29" xfId="0" applyFont="1" applyFill="1" applyBorder="1" applyAlignment="1">
      <alignment horizontal="center"/>
    </xf>
    <xf numFmtId="0" fontId="26" fillId="8" borderId="30" xfId="0" applyFont="1" applyFill="1" applyBorder="1" applyAlignment="1">
      <alignment horizontal="center"/>
    </xf>
    <xf numFmtId="0" fontId="2" fillId="0" borderId="13" xfId="2" applyBorder="1" applyAlignment="1">
      <alignment horizontal="center" vertical="justify"/>
    </xf>
    <xf numFmtId="0" fontId="2" fillId="0" borderId="15" xfId="2" applyBorder="1" applyAlignment="1">
      <alignment horizontal="center" vertical="justify"/>
    </xf>
    <xf numFmtId="0" fontId="2" fillId="0" borderId="14" xfId="2" applyBorder="1" applyAlignment="1">
      <alignment horizontal="center" vertical="justify"/>
    </xf>
    <xf numFmtId="0" fontId="34" fillId="0" borderId="0" xfId="0" applyFont="1"/>
  </cellXfs>
  <cellStyles count="9">
    <cellStyle name="Moeda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Percent 2" xfId="5" xr:uid="{00000000-0005-0000-0000-000004000000}"/>
    <cellStyle name="Percent 3" xfId="6" xr:uid="{00000000-0005-0000-0000-000005000000}"/>
    <cellStyle name="Percent 4" xfId="7" xr:uid="{00000000-0005-0000-0000-000006000000}"/>
    <cellStyle name="Porcentagem" xfId="4" builtinId="5"/>
    <cellStyle name="Porcentagem 2" xfId="8" xr:uid="{00000000-0005-0000-0000-000008000000}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2</xdr:row>
      <xdr:rowOff>120650</xdr:rowOff>
    </xdr:from>
    <xdr:to>
      <xdr:col>3</xdr:col>
      <xdr:colOff>403225</xdr:colOff>
      <xdr:row>8</xdr:row>
      <xdr:rowOff>15875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C4EB68A-9508-CA4F-AD3B-1BFA03F72BB2}"/>
            </a:ext>
          </a:extLst>
        </xdr:cNvPr>
        <xdr:cNvCxnSpPr/>
      </xdr:nvCxnSpPr>
      <xdr:spPr bwMode="auto">
        <a:xfrm flipH="1">
          <a:off x="2876550" y="450850"/>
          <a:ext cx="3175" cy="88582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403225</xdr:colOff>
      <xdr:row>8</xdr:row>
      <xdr:rowOff>3175</xdr:rowOff>
    </xdr:from>
    <xdr:to>
      <xdr:col>4</xdr:col>
      <xdr:colOff>454025</xdr:colOff>
      <xdr:row>8</xdr:row>
      <xdr:rowOff>12700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E50E5F0-33F5-CE43-ADE2-71046780A902}"/>
            </a:ext>
          </a:extLst>
        </xdr:cNvPr>
        <xdr:cNvCxnSpPr/>
      </xdr:nvCxnSpPr>
      <xdr:spPr bwMode="auto">
        <a:xfrm flipV="1">
          <a:off x="2879725" y="1323975"/>
          <a:ext cx="876300" cy="952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396875</xdr:colOff>
      <xdr:row>4</xdr:row>
      <xdr:rowOff>34925</xdr:rowOff>
    </xdr:from>
    <xdr:to>
      <xdr:col>4</xdr:col>
      <xdr:colOff>158750</xdr:colOff>
      <xdr:row>8</xdr:row>
      <xdr:rowOff>6350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7A5D240-906F-5943-8D5C-B57B7918CED2}"/>
            </a:ext>
          </a:extLst>
        </xdr:cNvPr>
        <xdr:cNvCxnSpPr/>
      </xdr:nvCxnSpPr>
      <xdr:spPr bwMode="auto">
        <a:xfrm>
          <a:off x="2873375" y="695325"/>
          <a:ext cx="587375" cy="63182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530225</xdr:colOff>
      <xdr:row>3</xdr:row>
      <xdr:rowOff>152400</xdr:rowOff>
    </xdr:from>
    <xdr:to>
      <xdr:col>3</xdr:col>
      <xdr:colOff>622300</xdr:colOff>
      <xdr:row>7</xdr:row>
      <xdr:rowOff>136525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5E199E0-231E-3241-B73A-5ECF2C1D0875}"/>
            </a:ext>
          </a:extLst>
        </xdr:cNvPr>
        <xdr:cNvCxnSpPr/>
      </xdr:nvCxnSpPr>
      <xdr:spPr bwMode="auto">
        <a:xfrm>
          <a:off x="3006725" y="647700"/>
          <a:ext cx="92075" cy="644525"/>
        </a:xfrm>
        <a:prstGeom prst="line">
          <a:avLst/>
        </a:prstGeom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438150</xdr:colOff>
      <xdr:row>5</xdr:row>
      <xdr:rowOff>120650</xdr:rowOff>
    </xdr:from>
    <xdr:to>
      <xdr:col>4</xdr:col>
      <xdr:colOff>285750</xdr:colOff>
      <xdr:row>6</xdr:row>
      <xdr:rowOff>139700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796CAC5-EA0F-B341-80EE-D936A269BBD8}"/>
            </a:ext>
          </a:extLst>
        </xdr:cNvPr>
        <xdr:cNvCxnSpPr/>
      </xdr:nvCxnSpPr>
      <xdr:spPr bwMode="auto">
        <a:xfrm>
          <a:off x="2914650" y="946150"/>
          <a:ext cx="673100" cy="1841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593725</xdr:colOff>
      <xdr:row>4</xdr:row>
      <xdr:rowOff>12700</xdr:rowOff>
    </xdr:from>
    <xdr:to>
      <xdr:col>4</xdr:col>
      <xdr:colOff>215900</xdr:colOff>
      <xdr:row>6</xdr:row>
      <xdr:rowOff>28575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6CC390E-4172-0745-B2D0-98AC39B7E2EE}"/>
            </a:ext>
          </a:extLst>
        </xdr:cNvPr>
        <xdr:cNvSpPr/>
      </xdr:nvSpPr>
      <xdr:spPr bwMode="auto">
        <a:xfrm>
          <a:off x="3070225" y="673100"/>
          <a:ext cx="447675" cy="346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600074</xdr:colOff>
      <xdr:row>5</xdr:row>
      <xdr:rowOff>92711</xdr:rowOff>
    </xdr:from>
    <xdr:to>
      <xdr:col>3</xdr:col>
      <xdr:colOff>647953</xdr:colOff>
      <xdr:row>5</xdr:row>
      <xdr:rowOff>138430</xdr:rowOff>
    </xdr:to>
    <xdr:sp macro="" textlink="">
      <xdr:nvSpPr>
        <xdr:cNvPr id="15" name="Triangle 14">
          <a:extLst>
            <a:ext uri="{FF2B5EF4-FFF2-40B4-BE49-F238E27FC236}">
              <a16:creationId xmlns:a16="http://schemas.microsoft.com/office/drawing/2014/main" id="{ADEF0C18-DB83-F744-B1F7-94F37AC68965}"/>
            </a:ext>
          </a:extLst>
        </xdr:cNvPr>
        <xdr:cNvSpPr/>
      </xdr:nvSpPr>
      <xdr:spPr bwMode="auto">
        <a:xfrm rot="10800000" flipV="1">
          <a:off x="3076574" y="918211"/>
          <a:ext cx="47879" cy="45719"/>
        </a:xfrm>
        <a:prstGeom prst="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412750</xdr:colOff>
      <xdr:row>2</xdr:row>
      <xdr:rowOff>127000</xdr:rowOff>
    </xdr:from>
    <xdr:to>
      <xdr:col>4</xdr:col>
      <xdr:colOff>390525</xdr:colOff>
      <xdr:row>8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977BC696-172C-B944-9292-FEF6C7D94C60}"/>
            </a:ext>
          </a:extLst>
        </xdr:cNvPr>
        <xdr:cNvCxnSpPr/>
      </xdr:nvCxnSpPr>
      <xdr:spPr bwMode="auto">
        <a:xfrm>
          <a:off x="2889250" y="457200"/>
          <a:ext cx="803275" cy="8636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7030A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403225</xdr:colOff>
      <xdr:row>9</xdr:row>
      <xdr:rowOff>3175</xdr:rowOff>
    </xdr:from>
    <xdr:to>
      <xdr:col>4</xdr:col>
      <xdr:colOff>454025</xdr:colOff>
      <xdr:row>9</xdr:row>
      <xdr:rowOff>12700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B66BC22-401C-0E41-89A9-31475FD320FC}"/>
            </a:ext>
          </a:extLst>
        </xdr:cNvPr>
        <xdr:cNvCxnSpPr/>
      </xdr:nvCxnSpPr>
      <xdr:spPr bwMode="auto">
        <a:xfrm flipV="1">
          <a:off x="2879725" y="1323975"/>
          <a:ext cx="876300" cy="952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714375</xdr:colOff>
      <xdr:row>3</xdr:row>
      <xdr:rowOff>50800</xdr:rowOff>
    </xdr:from>
    <xdr:to>
      <xdr:col>4</xdr:col>
      <xdr:colOff>336550</xdr:colOff>
      <xdr:row>5</xdr:row>
      <xdr:rowOff>66675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F1E29B3-9ED8-BF4E-B38A-196B822C2040}"/>
            </a:ext>
          </a:extLst>
        </xdr:cNvPr>
        <xdr:cNvSpPr/>
      </xdr:nvSpPr>
      <xdr:spPr bwMode="auto">
        <a:xfrm>
          <a:off x="3190875" y="546100"/>
          <a:ext cx="447675" cy="346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742950</xdr:colOff>
      <xdr:row>4</xdr:row>
      <xdr:rowOff>123825</xdr:rowOff>
    </xdr:from>
    <xdr:to>
      <xdr:col>3</xdr:col>
      <xdr:colOff>790829</xdr:colOff>
      <xdr:row>5</xdr:row>
      <xdr:rowOff>4444</xdr:rowOff>
    </xdr:to>
    <xdr:sp macro="" textlink="">
      <xdr:nvSpPr>
        <xdr:cNvPr id="22" name="Triangle 21">
          <a:extLst>
            <a:ext uri="{FF2B5EF4-FFF2-40B4-BE49-F238E27FC236}">
              <a16:creationId xmlns:a16="http://schemas.microsoft.com/office/drawing/2014/main" id="{21F66EE3-5DB4-1B4B-8288-F0ED7993E0E1}"/>
            </a:ext>
          </a:extLst>
        </xdr:cNvPr>
        <xdr:cNvSpPr/>
      </xdr:nvSpPr>
      <xdr:spPr bwMode="auto">
        <a:xfrm rot="10800000" flipV="1">
          <a:off x="3219450" y="784225"/>
          <a:ext cx="47879" cy="45719"/>
        </a:xfrm>
        <a:prstGeom prst="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148</xdr:row>
      <xdr:rowOff>50800</xdr:rowOff>
    </xdr:from>
    <xdr:to>
      <xdr:col>0</xdr:col>
      <xdr:colOff>584200</xdr:colOff>
      <xdr:row>150</xdr:row>
      <xdr:rowOff>88900</xdr:rowOff>
    </xdr:to>
    <xdr:sp macro="" textlink="">
      <xdr:nvSpPr>
        <xdr:cNvPr id="2" name="AutoShape 15">
          <a:extLst>
            <a:ext uri="{FF2B5EF4-FFF2-40B4-BE49-F238E27FC236}">
              <a16:creationId xmlns:a16="http://schemas.microsoft.com/office/drawing/2014/main" id="{7FF240DD-934E-944B-80C0-9930AD8E4B9F}"/>
            </a:ext>
          </a:extLst>
        </xdr:cNvPr>
        <xdr:cNvSpPr>
          <a:spLocks noChangeArrowheads="1"/>
        </xdr:cNvSpPr>
      </xdr:nvSpPr>
      <xdr:spPr bwMode="auto">
        <a:xfrm>
          <a:off x="419100" y="26162000"/>
          <a:ext cx="165100" cy="368300"/>
        </a:xfrm>
        <a:prstGeom prst="curvedRightArrow">
          <a:avLst>
            <a:gd name="adj1" fmla="val 44615"/>
            <a:gd name="adj2" fmla="val 89231"/>
            <a:gd name="adj3" fmla="val 33333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304800</xdr:colOff>
      <xdr:row>148</xdr:row>
      <xdr:rowOff>12700</xdr:rowOff>
    </xdr:from>
    <xdr:to>
      <xdr:col>0</xdr:col>
      <xdr:colOff>876300</xdr:colOff>
      <xdr:row>148</xdr:row>
      <xdr:rowOff>12700</xdr:rowOff>
    </xdr:to>
    <xdr:sp macro="" textlink="">
      <xdr:nvSpPr>
        <xdr:cNvPr id="5262" name="Line 17">
          <a:extLst>
            <a:ext uri="{FF2B5EF4-FFF2-40B4-BE49-F238E27FC236}">
              <a16:creationId xmlns:a16="http://schemas.microsoft.com/office/drawing/2014/main" id="{6B2294D1-9832-F94F-B804-519C3FB786FF}"/>
            </a:ext>
          </a:extLst>
        </xdr:cNvPr>
        <xdr:cNvSpPr>
          <a:spLocks noChangeShapeType="1"/>
        </xdr:cNvSpPr>
      </xdr:nvSpPr>
      <xdr:spPr bwMode="auto">
        <a:xfrm>
          <a:off x="304800" y="26136600"/>
          <a:ext cx="571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bookair/Desktop/Fernanda/UFJF/Po&#769;s%20MBAFinanc&#807;as_Presencial%20(2014)/Fernanda/UFJF/Disciplina%20Elaboracao%20e%20Analise%20de%20Projetos/ANE018%20(Turma%20conjunta%20ADM/ECO)/Parte%201.2%20Teoria%20de%20Carteiras/Solv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"/>
      <sheetName val="Exercício Solver (CML)"/>
      <sheetName val="Exercício Solver (FE)"/>
    </sheetNames>
    <sheetDataSet>
      <sheetData sheetId="0" refreshError="1"/>
      <sheetData sheetId="1">
        <row r="27">
          <cell r="C27">
            <v>97.664134873986626</v>
          </cell>
          <cell r="D27">
            <v>13.984444286370524</v>
          </cell>
          <cell r="E27">
            <v>0.22243603727687855</v>
          </cell>
          <cell r="F27">
            <v>3.4302512980178435</v>
          </cell>
        </row>
        <row r="29">
          <cell r="C29">
            <v>-23.741782899613955</v>
          </cell>
        </row>
        <row r="30">
          <cell r="C30">
            <v>1.4468457506850454</v>
          </cell>
          <cell r="D30">
            <v>-0.82133800501573262</v>
          </cell>
        </row>
        <row r="31">
          <cell r="C31">
            <v>13.203045616178331</v>
          </cell>
          <cell r="D31">
            <v>-4.016812195694242</v>
          </cell>
          <cell r="E31">
            <v>0.34600291978230957</v>
          </cell>
        </row>
        <row r="33">
          <cell r="B33">
            <v>8.6856431478933571E-3</v>
          </cell>
        </row>
        <row r="36">
          <cell r="B36">
            <v>1.0067854270231503E-2</v>
          </cell>
        </row>
        <row r="37">
          <cell r="B37">
            <v>7.34360186360246E-2</v>
          </cell>
        </row>
        <row r="38">
          <cell r="B38">
            <v>0.91649612709374384</v>
          </cell>
        </row>
        <row r="39">
          <cell r="B39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showGridLines="0" showRowColHeaders="0" zoomScale="260" zoomScaleNormal="260" workbookViewId="0"/>
  </sheetViews>
  <sheetFormatPr baseColWidth="10" defaultRowHeight="13"/>
  <sheetData>
    <row r="1" spans="2:8">
      <c r="B1" s="244" t="s">
        <v>502</v>
      </c>
      <c r="C1" s="245">
        <v>0.1</v>
      </c>
      <c r="D1" s="47" t="s">
        <v>529</v>
      </c>
    </row>
    <row r="2" spans="2:8">
      <c r="B2" s="47" t="s">
        <v>500</v>
      </c>
      <c r="C2">
        <v>50</v>
      </c>
      <c r="D2" s="47" t="s">
        <v>511</v>
      </c>
    </row>
    <row r="3" spans="2:8">
      <c r="B3" s="47" t="s">
        <v>499</v>
      </c>
      <c r="C3">
        <v>60</v>
      </c>
      <c r="D3" s="261" t="s">
        <v>564</v>
      </c>
      <c r="E3" s="251">
        <f>122-115</f>
        <v>7</v>
      </c>
    </row>
    <row r="4" spans="2:8">
      <c r="E4" s="47"/>
    </row>
    <row r="5" spans="2:8">
      <c r="B5" s="47" t="s">
        <v>501</v>
      </c>
      <c r="C5" s="148">
        <f>C2+C3/(1+C1)</f>
        <v>104.54545454545453</v>
      </c>
      <c r="E5" s="263" t="s">
        <v>515</v>
      </c>
    </row>
    <row r="6" spans="2:8">
      <c r="B6" s="47" t="s">
        <v>509</v>
      </c>
      <c r="C6" s="148">
        <f>C3+C2*(1+C1)</f>
        <v>115</v>
      </c>
      <c r="E6" s="247" t="s">
        <v>512</v>
      </c>
    </row>
    <row r="7" spans="2:8">
      <c r="F7" s="47" t="s">
        <v>513</v>
      </c>
      <c r="H7">
        <v>60</v>
      </c>
    </row>
    <row r="8" spans="2:8">
      <c r="E8" s="248" t="s">
        <v>516</v>
      </c>
      <c r="F8" s="47" t="s">
        <v>514</v>
      </c>
      <c r="H8" s="233">
        <f>60+-(10*(1.1))</f>
        <v>49</v>
      </c>
    </row>
    <row r="9" spans="2:8">
      <c r="B9" s="47" t="s">
        <v>504</v>
      </c>
      <c r="E9" s="246" t="s">
        <v>510</v>
      </c>
    </row>
    <row r="10" spans="2:8">
      <c r="B10" s="47" t="s">
        <v>505</v>
      </c>
      <c r="D10" s="47"/>
      <c r="E10" s="248" t="s">
        <v>563</v>
      </c>
      <c r="F10" s="243">
        <f>110.9-104.54</f>
        <v>6.3599999999999994</v>
      </c>
    </row>
    <row r="11" spans="2:8">
      <c r="B11" s="242" t="s">
        <v>506</v>
      </c>
      <c r="C11" s="243"/>
      <c r="D11" s="47" t="s">
        <v>503</v>
      </c>
    </row>
    <row r="12" spans="2:8">
      <c r="B12" s="242" t="s">
        <v>507</v>
      </c>
      <c r="C12" s="243"/>
      <c r="D12" s="47" t="s">
        <v>508</v>
      </c>
    </row>
    <row r="14" spans="2:8">
      <c r="B14" s="47" t="s">
        <v>517</v>
      </c>
      <c r="D14">
        <v>30</v>
      </c>
    </row>
    <row r="15" spans="2:8">
      <c r="B15" s="47" t="s">
        <v>518</v>
      </c>
      <c r="D15" s="252">
        <v>40</v>
      </c>
    </row>
    <row r="17" spans="1:5">
      <c r="B17" s="249" t="s">
        <v>519</v>
      </c>
      <c r="C17" s="250">
        <f>(D15-D14)/D14</f>
        <v>0.33333333333333331</v>
      </c>
      <c r="D17" s="47" t="s">
        <v>521</v>
      </c>
    </row>
    <row r="18" spans="1:5">
      <c r="B18" s="47" t="s">
        <v>520</v>
      </c>
      <c r="C18" s="148">
        <f>D15-(D14*1.1)</f>
        <v>7</v>
      </c>
    </row>
    <row r="19" spans="1:5">
      <c r="B19" s="256" t="s">
        <v>530</v>
      </c>
      <c r="C19" s="251">
        <f>D15/(1.1)-D14</f>
        <v>6.3636363636363598</v>
      </c>
      <c r="D19" s="247" t="s">
        <v>522</v>
      </c>
    </row>
    <row r="20" spans="1:5">
      <c r="B20" s="242" t="s">
        <v>572</v>
      </c>
      <c r="C20" s="251">
        <f>D15/1.1/D14</f>
        <v>1.2121212121212119</v>
      </c>
    </row>
    <row r="21" spans="1:5">
      <c r="A21" s="255">
        <f>NPV(C1,B21:E21)</f>
        <v>36.179222730687776</v>
      </c>
      <c r="B21">
        <v>-30</v>
      </c>
      <c r="C21">
        <v>40</v>
      </c>
      <c r="D21">
        <v>-5</v>
      </c>
      <c r="E21">
        <v>50</v>
      </c>
    </row>
    <row r="22" spans="1:5">
      <c r="B22" s="47" t="s">
        <v>524</v>
      </c>
    </row>
    <row r="23" spans="1:5">
      <c r="B23" s="47" t="s">
        <v>523</v>
      </c>
    </row>
    <row r="24" spans="1:5">
      <c r="B24" s="47" t="s">
        <v>525</v>
      </c>
    </row>
    <row r="26" spans="1:5">
      <c r="B26" s="47" t="s">
        <v>526</v>
      </c>
    </row>
    <row r="27" spans="1:5">
      <c r="B27" s="47" t="s">
        <v>527</v>
      </c>
    </row>
    <row r="28" spans="1:5">
      <c r="B28" s="254" t="s">
        <v>528</v>
      </c>
    </row>
    <row r="29" spans="1:5">
      <c r="A29" s="47" t="s">
        <v>531</v>
      </c>
    </row>
    <row r="30" spans="1:5">
      <c r="A30" s="47" t="s">
        <v>532</v>
      </c>
    </row>
    <row r="31" spans="1:5">
      <c r="A31" s="47" t="s">
        <v>533</v>
      </c>
    </row>
    <row r="32" spans="1:5">
      <c r="A32" s="47" t="s">
        <v>534</v>
      </c>
    </row>
    <row r="33" spans="1:5">
      <c r="A33" s="47" t="s">
        <v>535</v>
      </c>
    </row>
    <row r="34" spans="1:5">
      <c r="A34" s="47" t="s">
        <v>536</v>
      </c>
    </row>
    <row r="35" spans="1:5">
      <c r="A35" s="47" t="s">
        <v>537</v>
      </c>
    </row>
    <row r="36" spans="1:5">
      <c r="A36" s="47" t="s">
        <v>538</v>
      </c>
    </row>
    <row r="37" spans="1:5">
      <c r="A37" s="47" t="s">
        <v>539</v>
      </c>
    </row>
    <row r="38" spans="1:5">
      <c r="A38" s="47" t="s">
        <v>540</v>
      </c>
    </row>
    <row r="39" spans="1:5">
      <c r="A39" s="47"/>
    </row>
    <row r="40" spans="1:5">
      <c r="A40" s="47" t="s">
        <v>541</v>
      </c>
    </row>
    <row r="41" spans="1:5">
      <c r="B41" s="47" t="s">
        <v>517</v>
      </c>
      <c r="C41" s="47" t="s">
        <v>542</v>
      </c>
      <c r="D41" s="47" t="s">
        <v>376</v>
      </c>
      <c r="E41" s="47" t="s">
        <v>545</v>
      </c>
    </row>
    <row r="42" spans="1:5">
      <c r="A42" s="47" t="s">
        <v>543</v>
      </c>
      <c r="B42">
        <v>-10</v>
      </c>
      <c r="C42">
        <v>40</v>
      </c>
      <c r="D42" s="257">
        <f>(C42/-B42)-1</f>
        <v>3</v>
      </c>
      <c r="E42" s="148">
        <f>C42/(1+0.25)+B42</f>
        <v>22</v>
      </c>
    </row>
    <row r="43" spans="1:5">
      <c r="A43" s="47" t="s">
        <v>544</v>
      </c>
      <c r="B43">
        <v>-25</v>
      </c>
      <c r="C43">
        <v>65</v>
      </c>
      <c r="D43" s="241">
        <f>C43/-B43-1</f>
        <v>1.6</v>
      </c>
      <c r="E43" s="251">
        <f>C43/(1+0.25)+B43</f>
        <v>27</v>
      </c>
    </row>
    <row r="45" spans="1:5">
      <c r="A45" s="43" t="s">
        <v>546</v>
      </c>
      <c r="B45">
        <f>B43-B42</f>
        <v>-15</v>
      </c>
      <c r="C45">
        <f>C43-C42</f>
        <v>25</v>
      </c>
      <c r="D45" s="258">
        <f>C45/-B45-1</f>
        <v>0.66666666666666674</v>
      </c>
    </row>
    <row r="46" spans="1:5">
      <c r="A46" s="43" t="s">
        <v>546</v>
      </c>
    </row>
    <row r="47" spans="1:5">
      <c r="A47" s="247" t="s">
        <v>555</v>
      </c>
      <c r="B47" s="241">
        <f>10/10*D42+0/10*0</f>
        <v>3</v>
      </c>
    </row>
    <row r="48" spans="1:5">
      <c r="A48" s="247" t="s">
        <v>556</v>
      </c>
      <c r="B48" s="254" t="s">
        <v>547</v>
      </c>
    </row>
    <row r="49" spans="1:5">
      <c r="B49" s="47" t="s">
        <v>548</v>
      </c>
    </row>
    <row r="50" spans="1:5">
      <c r="B50" s="251">
        <f>(160-10/25*300)/(15/25)</f>
        <v>66.666666666666671</v>
      </c>
    </row>
    <row r="53" spans="1:5">
      <c r="A53" s="47" t="s">
        <v>549</v>
      </c>
      <c r="B53" s="246" t="s">
        <v>369</v>
      </c>
      <c r="C53" s="246" t="s">
        <v>370</v>
      </c>
    </row>
    <row r="54" spans="1:5">
      <c r="A54" s="47" t="s">
        <v>517</v>
      </c>
      <c r="B54">
        <f>-10000</f>
        <v>-10000</v>
      </c>
      <c r="D54">
        <f>-10000</f>
        <v>-10000</v>
      </c>
    </row>
    <row r="55" spans="1:5">
      <c r="A55" s="47" t="s">
        <v>542</v>
      </c>
      <c r="B55">
        <v>10000</v>
      </c>
      <c r="C55">
        <f>B55*(1.15)^2</f>
        <v>13224.999999999998</v>
      </c>
      <c r="D55">
        <v>1000</v>
      </c>
      <c r="E55">
        <f>D55*(1.15)^2</f>
        <v>1322.4999999999998</v>
      </c>
    </row>
    <row r="56" spans="1:5">
      <c r="A56" s="47" t="s">
        <v>550</v>
      </c>
      <c r="B56">
        <v>1000</v>
      </c>
      <c r="C56">
        <f>B56*(1.15)</f>
        <v>1150</v>
      </c>
      <c r="D56">
        <v>1000</v>
      </c>
      <c r="E56">
        <f>D56*(1.15)</f>
        <v>1150</v>
      </c>
    </row>
    <row r="57" spans="1:5">
      <c r="A57" s="47" t="s">
        <v>551</v>
      </c>
      <c r="B57">
        <v>1000</v>
      </c>
      <c r="C57">
        <f>B57</f>
        <v>1000</v>
      </c>
      <c r="D57">
        <v>12000</v>
      </c>
      <c r="E57">
        <f>D57</f>
        <v>12000</v>
      </c>
    </row>
    <row r="58" spans="1:5">
      <c r="A58" s="47" t="s">
        <v>552</v>
      </c>
      <c r="B58" s="243">
        <f>SUM(B54:B57)</f>
        <v>2000</v>
      </c>
      <c r="C58">
        <f>SUM(C55:C57)</f>
        <v>15374.999999999998</v>
      </c>
      <c r="D58" s="243">
        <f>SUM(D54:D57)</f>
        <v>4000</v>
      </c>
      <c r="E58" s="243">
        <f>SUM(E55:E57)</f>
        <v>14472.5</v>
      </c>
    </row>
    <row r="59" spans="1:5">
      <c r="A59" s="47" t="s">
        <v>553</v>
      </c>
      <c r="B59" s="255">
        <f>NPV(0.1,B54:B57)</f>
        <v>607.88197527491184</v>
      </c>
      <c r="D59" s="259">
        <f>NPV(0.1,D54:D57)</f>
        <v>683.01345536506642</v>
      </c>
    </row>
    <row r="60" spans="1:5">
      <c r="A60" s="47" t="s">
        <v>554</v>
      </c>
      <c r="B60" s="259">
        <f>NPV(0.15,B54:B57)</f>
        <v>95.053977079842397</v>
      </c>
      <c r="D60" s="255">
        <f>NPV(0.15,D54:D57)</f>
        <v>-420.95332706786832</v>
      </c>
    </row>
    <row r="61" spans="1:5">
      <c r="A61" s="47" t="s">
        <v>376</v>
      </c>
      <c r="B61" s="260">
        <f>IRR(B54:B57)</f>
        <v>0.16043513752031413</v>
      </c>
      <c r="D61" s="253">
        <f>IRR(D54:D57)</f>
        <v>0.12936990157228956</v>
      </c>
    </row>
    <row r="62" spans="1:5">
      <c r="A62" s="47" t="s">
        <v>557</v>
      </c>
    </row>
    <row r="63" spans="1:5">
      <c r="A63" s="47" t="s">
        <v>558</v>
      </c>
    </row>
    <row r="65" spans="1:4">
      <c r="A65" s="261" t="s">
        <v>559</v>
      </c>
      <c r="B65" s="262">
        <f>50+(60+40-30*1.1)/1.1</f>
        <v>110.90909090909091</v>
      </c>
    </row>
    <row r="66" spans="1:4">
      <c r="A66" s="261" t="s">
        <v>560</v>
      </c>
      <c r="B66" s="262">
        <f>50*1.1+(60+40-33)</f>
        <v>122</v>
      </c>
    </row>
    <row r="68" spans="1:4">
      <c r="A68" s="47" t="s">
        <v>561</v>
      </c>
      <c r="B68" s="148">
        <v>104.54545454545453</v>
      </c>
      <c r="C68" s="251">
        <f>B65-B68</f>
        <v>6.363636363636374</v>
      </c>
      <c r="D68" s="47" t="s">
        <v>103</v>
      </c>
    </row>
    <row r="69" spans="1:4">
      <c r="A69" s="47" t="s">
        <v>562</v>
      </c>
      <c r="B69" s="148">
        <v>115</v>
      </c>
      <c r="C69" s="251">
        <f>B66-B69</f>
        <v>7</v>
      </c>
      <c r="D69" s="47" t="s">
        <v>520</v>
      </c>
    </row>
    <row r="70" spans="1:4">
      <c r="C70" s="241">
        <f>C69/C68-1</f>
        <v>9.9999999999998312E-2</v>
      </c>
    </row>
    <row r="73" spans="1:4">
      <c r="A73" s="47" t="s">
        <v>566</v>
      </c>
    </row>
    <row r="75" spans="1:4">
      <c r="B75" s="47" t="s">
        <v>565</v>
      </c>
    </row>
    <row r="77" spans="1:4">
      <c r="A77" s="47" t="s">
        <v>567</v>
      </c>
    </row>
    <row r="79" spans="1:4">
      <c r="A79" s="47" t="s">
        <v>568</v>
      </c>
      <c r="C79" s="47" t="s">
        <v>569</v>
      </c>
    </row>
    <row r="80" spans="1:4">
      <c r="A80" s="47" t="s">
        <v>570</v>
      </c>
      <c r="C80" s="47" t="s">
        <v>571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95"/>
  <sheetViews>
    <sheetView showGridLines="0" zoomScale="150" zoomScaleNormal="150" workbookViewId="0"/>
  </sheetViews>
  <sheetFormatPr baseColWidth="10" defaultColWidth="8.83203125" defaultRowHeight="13"/>
  <cols>
    <col min="1" max="1" width="40.5" customWidth="1"/>
    <col min="2" max="2" width="12.6640625" bestFit="1" customWidth="1"/>
    <col min="3" max="3" width="13.5" bestFit="1" customWidth="1"/>
  </cols>
  <sheetData>
    <row r="1" spans="1:6">
      <c r="A1" s="145" t="s">
        <v>489</v>
      </c>
    </row>
    <row r="3" spans="1:6">
      <c r="A3" s="300" t="s">
        <v>0</v>
      </c>
      <c r="B3" s="300"/>
      <c r="C3" s="300"/>
    </row>
    <row r="4" spans="1:6" ht="16.5" customHeight="1">
      <c r="A4" s="300" t="s">
        <v>1</v>
      </c>
      <c r="B4" s="300"/>
      <c r="C4" s="300"/>
    </row>
    <row r="5" spans="1:6" ht="13.5" customHeight="1">
      <c r="A5" s="1"/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6" ht="13.5" customHeight="1">
      <c r="A6" s="3" t="s">
        <v>7</v>
      </c>
      <c r="B6" s="4">
        <v>58983943.5</v>
      </c>
      <c r="C6" s="4">
        <v>45709004.640000001</v>
      </c>
      <c r="D6" s="5">
        <f>B6/$B$29</f>
        <v>0.23324515752379638</v>
      </c>
      <c r="E6" s="5">
        <f>C6/$C$29</f>
        <v>0.19132434186975159</v>
      </c>
      <c r="F6" s="5">
        <f>(B6-C6)/ABS(C6)</f>
        <v>0.29042283822525172</v>
      </c>
    </row>
    <row r="7" spans="1:6" ht="13.5" customHeight="1">
      <c r="A7" s="3" t="s">
        <v>8</v>
      </c>
      <c r="B7" s="4">
        <v>1068082.1000000001</v>
      </c>
      <c r="C7" s="4">
        <v>599978.87</v>
      </c>
      <c r="D7" s="5">
        <f t="shared" ref="D7:D50" si="0">B7/$B$29</f>
        <v>4.2236066780249656E-3</v>
      </c>
      <c r="E7" s="5">
        <f t="shared" ref="E7:E50" si="1">C7/$C$29</f>
        <v>2.5113336713977336E-3</v>
      </c>
      <c r="F7" s="5">
        <f t="shared" ref="F7:F50" si="2">(B7-C7)/ABS(C7)</f>
        <v>0.78019952602664178</v>
      </c>
    </row>
    <row r="8" spans="1:6" ht="13.5" customHeight="1">
      <c r="A8" s="6" t="s">
        <v>9</v>
      </c>
      <c r="B8" s="7">
        <v>97371.93</v>
      </c>
      <c r="C8" s="7">
        <v>204464.95</v>
      </c>
      <c r="D8" s="5">
        <f t="shared" si="0"/>
        <v>3.8504599393640192E-4</v>
      </c>
      <c r="E8" s="5">
        <f t="shared" si="1"/>
        <v>8.5582966206068905E-4</v>
      </c>
      <c r="F8" s="5">
        <f t="shared" si="2"/>
        <v>-0.52377202058347905</v>
      </c>
    </row>
    <row r="9" spans="1:6" ht="13.5" customHeight="1">
      <c r="A9" s="6" t="s">
        <v>10</v>
      </c>
      <c r="B9" s="7">
        <v>467208.8</v>
      </c>
      <c r="C9" s="7">
        <v>173024.5</v>
      </c>
      <c r="D9" s="5">
        <f t="shared" si="0"/>
        <v>1.8475229644912413E-3</v>
      </c>
      <c r="E9" s="5">
        <f t="shared" si="1"/>
        <v>7.2422925965168943E-4</v>
      </c>
      <c r="F9" s="5">
        <f t="shared" si="2"/>
        <v>1.7002464968833892</v>
      </c>
    </row>
    <row r="10" spans="1:6" ht="13.5" customHeight="1">
      <c r="A10" s="6" t="s">
        <v>11</v>
      </c>
      <c r="B10" s="7">
        <v>503501.37</v>
      </c>
      <c r="C10" s="7">
        <v>222489.42</v>
      </c>
      <c r="D10" s="5">
        <f t="shared" si="0"/>
        <v>1.991037719597322E-3</v>
      </c>
      <c r="E10" s="5">
        <f t="shared" si="1"/>
        <v>9.3127474968535541E-4</v>
      </c>
      <c r="F10" s="5">
        <f t="shared" si="2"/>
        <v>1.2630351142090259</v>
      </c>
    </row>
    <row r="11" spans="1:6" ht="13.5" customHeight="1">
      <c r="A11" s="3" t="s">
        <v>12</v>
      </c>
      <c r="B11" s="4">
        <v>51926595.509999998</v>
      </c>
      <c r="C11" s="4">
        <v>40083386.259999998</v>
      </c>
      <c r="D11" s="5">
        <f t="shared" si="0"/>
        <v>0.20533769413712408</v>
      </c>
      <c r="E11" s="5">
        <f t="shared" si="1"/>
        <v>0.16777717118334395</v>
      </c>
      <c r="F11" s="5">
        <f t="shared" si="2"/>
        <v>0.29546428969796329</v>
      </c>
    </row>
    <row r="12" spans="1:6" ht="13.5" customHeight="1">
      <c r="A12" s="6" t="s">
        <v>13</v>
      </c>
      <c r="B12" s="7">
        <v>52051056.479999997</v>
      </c>
      <c r="C12" s="7">
        <v>40207405.219999999</v>
      </c>
      <c r="D12" s="5">
        <f t="shared" si="0"/>
        <v>0.20582986059515709</v>
      </c>
      <c r="E12" s="5">
        <f t="shared" si="1"/>
        <v>0.16829627778144754</v>
      </c>
      <c r="F12" s="5">
        <f t="shared" si="2"/>
        <v>0.29456392908709067</v>
      </c>
    </row>
    <row r="13" spans="1:6" ht="13.5" customHeight="1">
      <c r="A13" s="6" t="s">
        <v>14</v>
      </c>
      <c r="B13" s="7">
        <v>-2670689.87</v>
      </c>
      <c r="C13" s="7">
        <v>-2176717.84</v>
      </c>
      <c r="D13" s="5">
        <f t="shared" si="0"/>
        <v>-1.0560933068596156E-2</v>
      </c>
      <c r="E13" s="5">
        <f t="shared" si="1"/>
        <v>-9.1110955369547338E-3</v>
      </c>
      <c r="F13" s="5">
        <f>-(B13-C13)/ABS(C13)</f>
        <v>0.22693434166001061</v>
      </c>
    </row>
    <row r="14" spans="1:6" ht="13.5" customHeight="1">
      <c r="A14" s="6" t="s">
        <v>15</v>
      </c>
      <c r="B14" s="7">
        <v>393503.08</v>
      </c>
      <c r="C14" s="7">
        <v>1000273.78</v>
      </c>
      <c r="D14" s="5">
        <f t="shared" si="0"/>
        <v>1.5560622507496307E-3</v>
      </c>
      <c r="E14" s="5">
        <f t="shared" si="1"/>
        <v>4.1868494874332642E-3</v>
      </c>
      <c r="F14" s="5">
        <f t="shared" si="2"/>
        <v>-0.60660462378609981</v>
      </c>
    </row>
    <row r="15" spans="1:6" ht="13.5" customHeight="1">
      <c r="A15" s="6" t="s">
        <v>16</v>
      </c>
      <c r="B15" s="7">
        <v>832851.52</v>
      </c>
      <c r="C15" s="7">
        <v>516758.34</v>
      </c>
      <c r="D15" s="5">
        <f t="shared" si="0"/>
        <v>3.2934146557415792E-3</v>
      </c>
      <c r="E15" s="5">
        <f t="shared" si="1"/>
        <v>2.1629972055809206E-3</v>
      </c>
      <c r="F15" s="5">
        <f t="shared" si="2"/>
        <v>0.61168471901198529</v>
      </c>
    </row>
    <row r="16" spans="1:6" ht="13.5" customHeight="1">
      <c r="A16" s="6" t="s">
        <v>17</v>
      </c>
      <c r="B16" s="7">
        <v>1262758.9099999999</v>
      </c>
      <c r="C16" s="7">
        <v>477090.66</v>
      </c>
      <c r="D16" s="5">
        <f t="shared" si="0"/>
        <v>4.9934335244561498E-3</v>
      </c>
      <c r="E16" s="5">
        <f t="shared" si="1"/>
        <v>1.9969600575556398E-3</v>
      </c>
      <c r="F16" s="5">
        <f t="shared" si="2"/>
        <v>1.6467902557555834</v>
      </c>
    </row>
    <row r="17" spans="1:6" ht="13.5" customHeight="1">
      <c r="A17" s="6" t="s">
        <v>18</v>
      </c>
      <c r="B17" s="7">
        <v>57115.39</v>
      </c>
      <c r="C17" s="7">
        <v>58576.1</v>
      </c>
      <c r="D17" s="5">
        <f t="shared" si="0"/>
        <v>2.2585617961578077E-4</v>
      </c>
      <c r="E17" s="5">
        <f t="shared" si="1"/>
        <v>2.4518218828133197E-4</v>
      </c>
      <c r="F17" s="5">
        <f t="shared" si="2"/>
        <v>-2.4936962344710541E-2</v>
      </c>
    </row>
    <row r="18" spans="1:6" ht="13.5" customHeight="1">
      <c r="A18" s="3" t="s">
        <v>19</v>
      </c>
      <c r="B18" s="4">
        <v>5386041.3799999999</v>
      </c>
      <c r="C18" s="4">
        <v>4743241.1100000003</v>
      </c>
      <c r="D18" s="5">
        <f t="shared" si="0"/>
        <v>2.1298475408104676E-2</v>
      </c>
      <c r="E18" s="5">
        <f t="shared" si="1"/>
        <v>1.9853801036528108E-2</v>
      </c>
      <c r="F18" s="5">
        <f t="shared" si="2"/>
        <v>0.13551920619105942</v>
      </c>
    </row>
    <row r="19" spans="1:6" ht="13.5" customHeight="1">
      <c r="A19" s="3" t="s">
        <v>20</v>
      </c>
      <c r="B19" s="4">
        <v>603224.51</v>
      </c>
      <c r="C19" s="4">
        <v>282398.40000000002</v>
      </c>
      <c r="D19" s="5">
        <f t="shared" si="0"/>
        <v>2.3853813005426617E-3</v>
      </c>
      <c r="E19" s="5">
        <f t="shared" si="1"/>
        <v>1.1820359784817853E-3</v>
      </c>
      <c r="F19" s="5">
        <f t="shared" si="2"/>
        <v>1.1360762313100923</v>
      </c>
    </row>
    <row r="20" spans="1:6" ht="13.5" customHeight="1">
      <c r="A20" s="3" t="s">
        <v>21</v>
      </c>
      <c r="B20" s="4">
        <v>3243328.64</v>
      </c>
      <c r="C20" s="4">
        <v>3190229.82</v>
      </c>
      <c r="D20" s="5">
        <f t="shared" si="0"/>
        <v>1.2825366610800451E-2</v>
      </c>
      <c r="E20" s="5">
        <f t="shared" si="1"/>
        <v>1.3353356204799565E-2</v>
      </c>
      <c r="F20" s="5">
        <f t="shared" si="2"/>
        <v>1.6644199006327482E-2</v>
      </c>
    </row>
    <row r="21" spans="1:6" ht="13.5" customHeight="1">
      <c r="A21" s="6" t="s">
        <v>22</v>
      </c>
      <c r="B21" s="7">
        <v>3243328.64</v>
      </c>
      <c r="C21" s="7">
        <v>3190229.82</v>
      </c>
      <c r="D21" s="5">
        <f t="shared" si="0"/>
        <v>1.2825366610800451E-2</v>
      </c>
      <c r="E21" s="5">
        <f t="shared" si="1"/>
        <v>1.3353356204799565E-2</v>
      </c>
      <c r="F21" s="5">
        <f t="shared" si="2"/>
        <v>1.6644199006327482E-2</v>
      </c>
    </row>
    <row r="22" spans="1:6" ht="13.5" customHeight="1">
      <c r="A22" s="3" t="s">
        <v>23</v>
      </c>
      <c r="B22" s="4">
        <v>190656621.03999999</v>
      </c>
      <c r="C22" s="4">
        <v>190009229.53</v>
      </c>
      <c r="D22" s="5">
        <f t="shared" si="0"/>
        <v>0.75392947586540315</v>
      </c>
      <c r="E22" s="5">
        <f t="shared" si="1"/>
        <v>0.79532230192544884</v>
      </c>
      <c r="F22" s="5">
        <f t="shared" si="2"/>
        <v>3.4071582291100009E-3</v>
      </c>
    </row>
    <row r="23" spans="1:6" ht="13.5" customHeight="1">
      <c r="A23" s="3" t="s">
        <v>24</v>
      </c>
      <c r="B23" s="4">
        <v>6479495</v>
      </c>
      <c r="C23" s="4">
        <v>3791029.49</v>
      </c>
      <c r="D23" s="5">
        <f t="shared" si="0"/>
        <v>2.5622410816761532E-2</v>
      </c>
      <c r="E23" s="5">
        <f t="shared" si="1"/>
        <v>1.5868125501651047E-2</v>
      </c>
      <c r="F23" s="5">
        <f t="shared" si="2"/>
        <v>0.70916502155724448</v>
      </c>
    </row>
    <row r="24" spans="1:6" ht="13.5" customHeight="1">
      <c r="A24" s="6" t="s">
        <v>25</v>
      </c>
      <c r="B24" s="7">
        <v>84790.82</v>
      </c>
      <c r="C24" s="7">
        <v>951499.9</v>
      </c>
      <c r="D24" s="5">
        <f t="shared" si="0"/>
        <v>3.3529545489734619E-4</v>
      </c>
      <c r="E24" s="5">
        <f t="shared" si="1"/>
        <v>3.982696485963875E-3</v>
      </c>
      <c r="F24" s="5">
        <f t="shared" si="2"/>
        <v>-0.91088720030343673</v>
      </c>
    </row>
    <row r="25" spans="1:6" ht="13.5" customHeight="1">
      <c r="A25" s="6" t="s">
        <v>26</v>
      </c>
      <c r="B25" s="7">
        <v>6394704.1799999997</v>
      </c>
      <c r="C25" s="7">
        <v>2839529.59</v>
      </c>
      <c r="D25" s="5">
        <f t="shared" si="0"/>
        <v>2.5287115361864183E-2</v>
      </c>
      <c r="E25" s="5">
        <f t="shared" si="1"/>
        <v>1.1885429015687171E-2</v>
      </c>
      <c r="F25" s="5">
        <f t="shared" si="2"/>
        <v>1.2520294215352763</v>
      </c>
    </row>
    <row r="26" spans="1:6" ht="13.5" customHeight="1">
      <c r="A26" s="3" t="s">
        <v>27</v>
      </c>
      <c r="B26" s="4">
        <v>184177126.03999999</v>
      </c>
      <c r="C26" s="4">
        <v>186218200.03999999</v>
      </c>
      <c r="D26" s="5">
        <f t="shared" si="0"/>
        <v>0.72830706504864162</v>
      </c>
      <c r="E26" s="5">
        <f t="shared" si="1"/>
        <v>0.77945417642379777</v>
      </c>
      <c r="F26" s="5">
        <f t="shared" si="2"/>
        <v>-1.0960657978444501E-2</v>
      </c>
    </row>
    <row r="27" spans="1:6" ht="13.5" customHeight="1">
      <c r="A27" s="6" t="s">
        <v>28</v>
      </c>
      <c r="B27" s="7">
        <v>225334088.84</v>
      </c>
      <c r="C27" s="7">
        <v>220218943.56</v>
      </c>
      <c r="D27" s="5">
        <f t="shared" si="0"/>
        <v>0.89105749680787161</v>
      </c>
      <c r="E27" s="5">
        <f t="shared" si="1"/>
        <v>0.9217712084458326</v>
      </c>
      <c r="F27" s="5">
        <f t="shared" si="2"/>
        <v>2.3227544357946429E-2</v>
      </c>
    </row>
    <row r="28" spans="1:6" ht="13.5" customHeight="1">
      <c r="A28" s="6" t="s">
        <v>29</v>
      </c>
      <c r="B28" s="7">
        <v>-41156962.799999997</v>
      </c>
      <c r="C28" s="7">
        <v>-34000743.520000003</v>
      </c>
      <c r="D28" s="5">
        <f t="shared" si="0"/>
        <v>-0.16275043175922999</v>
      </c>
      <c r="E28" s="5">
        <f t="shared" si="1"/>
        <v>-0.14231703202203491</v>
      </c>
      <c r="F28" s="5">
        <f>-(B28-C28)/ABS(C28)</f>
        <v>0.21047243498632742</v>
      </c>
    </row>
    <row r="29" spans="1:6" ht="13.5" customHeight="1">
      <c r="A29" s="3" t="s">
        <v>30</v>
      </c>
      <c r="B29" s="4">
        <v>252883893.18000001</v>
      </c>
      <c r="C29" s="4">
        <v>238908463.99000001</v>
      </c>
      <c r="D29" s="5">
        <f t="shared" si="0"/>
        <v>1</v>
      </c>
      <c r="E29" s="5">
        <f t="shared" si="1"/>
        <v>1</v>
      </c>
      <c r="F29" s="5">
        <f t="shared" si="2"/>
        <v>5.8497003231266713E-2</v>
      </c>
    </row>
    <row r="30" spans="1:6" ht="13.5" customHeight="1">
      <c r="A30" s="301" t="s">
        <v>31</v>
      </c>
      <c r="B30" s="301"/>
      <c r="C30" s="301"/>
      <c r="D30" s="5"/>
      <c r="E30" s="5"/>
      <c r="F30" s="5"/>
    </row>
    <row r="31" spans="1:6" ht="13.5" customHeight="1">
      <c r="A31" s="300" t="s">
        <v>32</v>
      </c>
      <c r="B31" s="300"/>
      <c r="C31" s="300"/>
      <c r="D31" s="5"/>
      <c r="E31" s="5"/>
      <c r="F31" s="5"/>
    </row>
    <row r="32" spans="1:6" ht="13.5" customHeight="1">
      <c r="A32" s="1"/>
      <c r="B32" s="2" t="s">
        <v>2</v>
      </c>
      <c r="C32" s="2" t="s">
        <v>3</v>
      </c>
      <c r="D32" s="2" t="s">
        <v>4</v>
      </c>
      <c r="E32" s="2" t="s">
        <v>5</v>
      </c>
      <c r="F32" s="2" t="s">
        <v>6</v>
      </c>
    </row>
    <row r="33" spans="1:6" ht="13.5" customHeight="1">
      <c r="A33" s="3" t="s">
        <v>7</v>
      </c>
      <c r="B33" s="4">
        <v>52625830.25</v>
      </c>
      <c r="C33" s="4">
        <v>53878147.859999999</v>
      </c>
      <c r="D33" s="5">
        <f t="shared" si="0"/>
        <v>0.20810273674702368</v>
      </c>
      <c r="E33" s="5">
        <f t="shared" si="1"/>
        <v>0.22551795344620013</v>
      </c>
      <c r="F33" s="5">
        <f t="shared" si="2"/>
        <v>-2.3243516337163105E-2</v>
      </c>
    </row>
    <row r="34" spans="1:6" ht="13.5" customHeight="1">
      <c r="A34" s="6" t="s">
        <v>33</v>
      </c>
      <c r="B34" s="7">
        <v>24543615.609999999</v>
      </c>
      <c r="C34" s="7">
        <v>20411171.420000002</v>
      </c>
      <c r="D34" s="5">
        <f t="shared" si="0"/>
        <v>9.7054878827455102E-2</v>
      </c>
      <c r="E34" s="5">
        <f t="shared" si="1"/>
        <v>8.5435112172728853E-2</v>
      </c>
      <c r="F34" s="5">
        <f t="shared" si="2"/>
        <v>0.20245992280241196</v>
      </c>
    </row>
    <row r="35" spans="1:6" ht="13.5" customHeight="1">
      <c r="A35" s="6" t="s">
        <v>34</v>
      </c>
      <c r="B35" s="7">
        <v>4185662.13</v>
      </c>
      <c r="C35" s="7">
        <v>4254690.3</v>
      </c>
      <c r="D35" s="5">
        <f t="shared" si="0"/>
        <v>1.6551715007885819E-2</v>
      </c>
      <c r="E35" s="5">
        <f t="shared" si="1"/>
        <v>1.7808872188714454E-2</v>
      </c>
      <c r="F35" s="5">
        <f t="shared" si="2"/>
        <v>-1.6224017527198143E-2</v>
      </c>
    </row>
    <row r="36" spans="1:6" ht="13.5" customHeight="1">
      <c r="A36" s="6" t="s">
        <v>35</v>
      </c>
      <c r="B36" s="7">
        <v>1245086.57</v>
      </c>
      <c r="C36" s="7">
        <v>1163394.53</v>
      </c>
      <c r="D36" s="5">
        <f t="shared" si="0"/>
        <v>4.9235503073885413E-3</v>
      </c>
      <c r="E36" s="5">
        <f t="shared" si="1"/>
        <v>4.8696245857940646E-3</v>
      </c>
      <c r="F36" s="5">
        <f t="shared" si="2"/>
        <v>7.0218690129134467E-2</v>
      </c>
    </row>
    <row r="37" spans="1:6" ht="13.5" customHeight="1">
      <c r="A37" s="6" t="s">
        <v>36</v>
      </c>
      <c r="B37" s="7">
        <v>14242703.75</v>
      </c>
      <c r="C37" s="7">
        <v>13046748.93</v>
      </c>
      <c r="D37" s="5">
        <f t="shared" si="0"/>
        <v>5.6321118640253603E-2</v>
      </c>
      <c r="E37" s="5">
        <f t="shared" si="1"/>
        <v>5.4609822992901992E-2</v>
      </c>
      <c r="F37" s="5">
        <f t="shared" si="2"/>
        <v>9.1666883943017696E-2</v>
      </c>
    </row>
    <row r="38" spans="1:6" ht="13.5" customHeight="1">
      <c r="A38" s="6" t="s">
        <v>37</v>
      </c>
      <c r="B38" s="7">
        <v>752096.33</v>
      </c>
      <c r="C38" s="7">
        <v>872623.38</v>
      </c>
      <c r="D38" s="5">
        <f t="shared" si="0"/>
        <v>2.9740776312102484E-3</v>
      </c>
      <c r="E38" s="5">
        <f t="shared" si="1"/>
        <v>3.6525427581189647E-3</v>
      </c>
      <c r="F38" s="5">
        <f t="shared" si="2"/>
        <v>-0.13812035382320384</v>
      </c>
    </row>
    <row r="39" spans="1:6" ht="13.5" customHeight="1">
      <c r="A39" s="6" t="s">
        <v>38</v>
      </c>
      <c r="B39" s="7">
        <v>437246.17</v>
      </c>
      <c r="C39" s="7">
        <v>384350.1</v>
      </c>
      <c r="D39" s="5">
        <f t="shared" si="0"/>
        <v>1.7290392223152501E-3</v>
      </c>
      <c r="E39" s="5">
        <f t="shared" si="1"/>
        <v>1.6087755686047512E-3</v>
      </c>
      <c r="F39" s="5">
        <f t="shared" si="2"/>
        <v>0.1376247072655894</v>
      </c>
    </row>
    <row r="40" spans="1:6" ht="13.5" customHeight="1">
      <c r="A40" s="6" t="s">
        <v>39</v>
      </c>
      <c r="B40" s="7">
        <v>407073.65</v>
      </c>
      <c r="C40" s="7">
        <v>508491.74</v>
      </c>
      <c r="D40" s="5">
        <f t="shared" si="0"/>
        <v>1.6097254944989693E-3</v>
      </c>
      <c r="E40" s="5">
        <f t="shared" si="1"/>
        <v>2.12839566881684E-3</v>
      </c>
      <c r="F40" s="5">
        <f t="shared" si="2"/>
        <v>-0.19944884453776962</v>
      </c>
    </row>
    <row r="41" spans="1:6" ht="13.5" customHeight="1">
      <c r="A41" s="6" t="s">
        <v>40</v>
      </c>
      <c r="B41" s="7">
        <v>6812346.04</v>
      </c>
      <c r="C41" s="7">
        <v>13236677.460000001</v>
      </c>
      <c r="D41" s="5">
        <f t="shared" si="0"/>
        <v>2.6938631616016152E-2</v>
      </c>
      <c r="E41" s="5">
        <f t="shared" si="1"/>
        <v>5.5404807510520217E-2</v>
      </c>
      <c r="F41" s="5">
        <f t="shared" si="2"/>
        <v>-0.48534320182793067</v>
      </c>
    </row>
    <row r="42" spans="1:6" ht="13.5" customHeight="1">
      <c r="A42" s="3" t="s">
        <v>41</v>
      </c>
      <c r="B42" s="4">
        <v>30594649.649999999</v>
      </c>
      <c r="C42" s="4">
        <v>22800641.829999998</v>
      </c>
      <c r="D42" s="5">
        <f t="shared" si="0"/>
        <v>0.12098299051503078</v>
      </c>
      <c r="E42" s="5">
        <f t="shared" si="1"/>
        <v>9.5436726891996448E-2</v>
      </c>
      <c r="F42" s="5">
        <f t="shared" si="2"/>
        <v>0.34183282550164951</v>
      </c>
    </row>
    <row r="43" spans="1:6" ht="13.5" customHeight="1">
      <c r="A43" s="6" t="s">
        <v>36</v>
      </c>
      <c r="B43" s="7">
        <v>976282.87</v>
      </c>
      <c r="C43" s="7">
        <v>682253.54</v>
      </c>
      <c r="D43" s="5">
        <f t="shared" si="0"/>
        <v>3.8605972793415216E-3</v>
      </c>
      <c r="E43" s="5">
        <f t="shared" si="1"/>
        <v>2.8557110476778967E-3</v>
      </c>
      <c r="F43" s="5">
        <f t="shared" si="2"/>
        <v>0.43096783345382123</v>
      </c>
    </row>
    <row r="44" spans="1:6" ht="13.5" customHeight="1">
      <c r="A44" s="6" t="s">
        <v>33</v>
      </c>
      <c r="B44" s="7">
        <v>508589.2</v>
      </c>
      <c r="C44" s="7">
        <v>1251799.69</v>
      </c>
      <c r="D44" s="5">
        <f t="shared" si="0"/>
        <v>2.0111569527205583E-3</v>
      </c>
      <c r="E44" s="5">
        <f t="shared" si="1"/>
        <v>5.2396623756804052E-3</v>
      </c>
      <c r="F44" s="5">
        <f t="shared" si="2"/>
        <v>-0.59371359166896742</v>
      </c>
    </row>
    <row r="45" spans="1:6" ht="13.5" customHeight="1">
      <c r="A45" s="6" t="s">
        <v>40</v>
      </c>
      <c r="B45" s="7">
        <v>25841658.48</v>
      </c>
      <c r="C45" s="7">
        <v>17598469.5</v>
      </c>
      <c r="D45" s="5">
        <f t="shared" si="0"/>
        <v>0.10218783867585504</v>
      </c>
      <c r="E45" s="5">
        <f t="shared" si="1"/>
        <v>7.3661975829942217E-2</v>
      </c>
      <c r="F45" s="5">
        <f t="shared" si="2"/>
        <v>0.46840374272319535</v>
      </c>
    </row>
    <row r="46" spans="1:6" ht="13.5" customHeight="1">
      <c r="A46" s="6" t="s">
        <v>42</v>
      </c>
      <c r="B46" s="7">
        <v>3268119.1</v>
      </c>
      <c r="C46" s="7">
        <v>3268119.1</v>
      </c>
      <c r="D46" s="5">
        <f t="shared" si="0"/>
        <v>1.2923397607113666E-2</v>
      </c>
      <c r="E46" s="5">
        <f t="shared" si="1"/>
        <v>1.3679377638695939E-2</v>
      </c>
      <c r="F46" s="5">
        <f t="shared" si="2"/>
        <v>0</v>
      </c>
    </row>
    <row r="47" spans="1:6" ht="13.5" customHeight="1">
      <c r="A47" s="3" t="s">
        <v>43</v>
      </c>
      <c r="B47" s="4">
        <v>169663413.28</v>
      </c>
      <c r="C47" s="4">
        <v>162229674.30000001</v>
      </c>
      <c r="D47" s="5">
        <f t="shared" si="0"/>
        <v>0.67091427273794546</v>
      </c>
      <c r="E47" s="5">
        <f t="shared" si="1"/>
        <v>0.67904531966180348</v>
      </c>
      <c r="F47" s="5">
        <f t="shared" si="2"/>
        <v>4.5822313408909979E-2</v>
      </c>
    </row>
    <row r="48" spans="1:6" ht="13.5" customHeight="1">
      <c r="A48" s="6" t="s">
        <v>44</v>
      </c>
      <c r="B48" s="7">
        <v>162995273.47999999</v>
      </c>
      <c r="C48" s="7">
        <v>149963320.65000001</v>
      </c>
      <c r="D48" s="5">
        <f t="shared" si="0"/>
        <v>0.64454588795808254</v>
      </c>
      <c r="E48" s="5">
        <f t="shared" si="1"/>
        <v>0.62770199994369813</v>
      </c>
      <c r="F48" s="5">
        <f t="shared" si="2"/>
        <v>8.6900935332149057E-2</v>
      </c>
    </row>
    <row r="49" spans="1:6" ht="13.5" customHeight="1">
      <c r="A49" s="6" t="s">
        <v>45</v>
      </c>
      <c r="B49" s="7">
        <v>6668139.7999999998</v>
      </c>
      <c r="C49" s="7">
        <v>12266353.65</v>
      </c>
      <c r="D49" s="5">
        <f t="shared" si="0"/>
        <v>2.6368384779862947E-2</v>
      </c>
      <c r="E49" s="5">
        <f t="shared" si="1"/>
        <v>5.1343319718105226E-2</v>
      </c>
      <c r="F49" s="5">
        <f t="shared" si="2"/>
        <v>-0.45638777502554723</v>
      </c>
    </row>
    <row r="50" spans="1:6" ht="13.5" customHeight="1">
      <c r="A50" s="8" t="s">
        <v>46</v>
      </c>
      <c r="B50" s="9">
        <v>252883893.18000001</v>
      </c>
      <c r="C50" s="9">
        <v>238908463.99000001</v>
      </c>
      <c r="D50" s="5">
        <f t="shared" si="0"/>
        <v>1</v>
      </c>
      <c r="E50" s="5">
        <f t="shared" si="1"/>
        <v>1</v>
      </c>
      <c r="F50" s="5">
        <f t="shared" si="2"/>
        <v>5.8497003231266713E-2</v>
      </c>
    </row>
    <row r="52" spans="1:6">
      <c r="A52" s="10"/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</row>
    <row r="53" spans="1:6" ht="15.75" customHeight="1">
      <c r="A53" s="11" t="s">
        <v>47</v>
      </c>
      <c r="B53" s="12">
        <v>211931799.55000001</v>
      </c>
      <c r="C53" s="12">
        <v>187839758.44</v>
      </c>
      <c r="D53" s="5">
        <f>B53/$B$53</f>
        <v>1</v>
      </c>
      <c r="E53" s="5">
        <f>C53/$C$53</f>
        <v>1</v>
      </c>
      <c r="F53" s="5">
        <f>(B53-C53)/ABS(C53)</f>
        <v>0.12825847578852975</v>
      </c>
    </row>
    <row r="54" spans="1:6" ht="15.75" customHeight="1">
      <c r="A54" s="13" t="s">
        <v>48</v>
      </c>
      <c r="B54" s="14">
        <v>92284580.670000002</v>
      </c>
      <c r="C54" s="14">
        <v>88463494.900000006</v>
      </c>
      <c r="D54" s="5">
        <f t="shared" ref="D54:D72" si="3">B54/$B$53</f>
        <v>0.43544470846729993</v>
      </c>
      <c r="E54" s="5">
        <f t="shared" ref="E54:E72" si="4">C54/$C$53</f>
        <v>0.4709519200550778</v>
      </c>
      <c r="F54" s="5">
        <f t="shared" ref="F54:F72" si="5">(B54-C54)/ABS(C54)</f>
        <v>4.3193927329226459E-2</v>
      </c>
    </row>
    <row r="55" spans="1:6" ht="15.75" customHeight="1">
      <c r="A55" s="13" t="s">
        <v>49</v>
      </c>
      <c r="B55" s="14">
        <v>34327126.700000003</v>
      </c>
      <c r="C55" s="14">
        <v>30574242.75</v>
      </c>
      <c r="D55" s="5">
        <f t="shared" si="3"/>
        <v>0.16197251555872047</v>
      </c>
      <c r="E55" s="5">
        <f t="shared" si="4"/>
        <v>0.16276768562692792</v>
      </c>
      <c r="F55" s="5">
        <f t="shared" si="5"/>
        <v>0.1227465870761428</v>
      </c>
    </row>
    <row r="56" spans="1:6" ht="15.75" customHeight="1">
      <c r="A56" s="13" t="s">
        <v>50</v>
      </c>
      <c r="B56" s="14">
        <v>74049376.920000002</v>
      </c>
      <c r="C56" s="14">
        <v>61207328.909999996</v>
      </c>
      <c r="D56" s="5">
        <f t="shared" si="3"/>
        <v>0.34940191645251378</v>
      </c>
      <c r="E56" s="5">
        <f t="shared" si="4"/>
        <v>0.32584863512561912</v>
      </c>
      <c r="F56" s="5">
        <f t="shared" si="5"/>
        <v>0.20981226004622927</v>
      </c>
    </row>
    <row r="57" spans="1:6" ht="15.75" customHeight="1">
      <c r="A57" s="13" t="s">
        <v>51</v>
      </c>
      <c r="B57" s="14">
        <v>11270715.26</v>
      </c>
      <c r="C57" s="14">
        <v>7594691.8799999999</v>
      </c>
      <c r="D57" s="5">
        <f t="shared" si="3"/>
        <v>5.3180859521465798E-2</v>
      </c>
      <c r="E57" s="5">
        <f t="shared" si="4"/>
        <v>4.0431759192375162E-2</v>
      </c>
      <c r="F57" s="5">
        <f t="shared" si="5"/>
        <v>0.48402534797764568</v>
      </c>
    </row>
    <row r="58" spans="1:6" ht="15.75" customHeight="1">
      <c r="A58" s="11" t="s">
        <v>52</v>
      </c>
      <c r="B58" s="12">
        <v>-7142100.5499999998</v>
      </c>
      <c r="C58" s="12">
        <v>-6047531.9100000001</v>
      </c>
      <c r="D58" s="5">
        <f>-B58/$B$53</f>
        <v>3.3699994834022064E-2</v>
      </c>
      <c r="E58" s="5">
        <f>-C58/$C$53</f>
        <v>3.2195164432836036E-2</v>
      </c>
      <c r="F58" s="5">
        <f>-(B58-C58)/ABS(C58)</f>
        <v>0.18099427275283275</v>
      </c>
    </row>
    <row r="59" spans="1:6" ht="15.75" customHeight="1">
      <c r="A59" s="11" t="s">
        <v>53</v>
      </c>
      <c r="B59" s="12">
        <v>204789699</v>
      </c>
      <c r="C59" s="12">
        <v>181792226.53</v>
      </c>
      <c r="D59" s="5">
        <f t="shared" si="3"/>
        <v>0.96630000516597792</v>
      </c>
      <c r="E59" s="5">
        <f t="shared" si="4"/>
        <v>0.96780483556716401</v>
      </c>
      <c r="F59" s="5">
        <f t="shared" si="5"/>
        <v>0.12650415757026262</v>
      </c>
    </row>
    <row r="60" spans="1:6" ht="15.75" customHeight="1">
      <c r="A60" s="11" t="s">
        <v>54</v>
      </c>
      <c r="B60" s="12">
        <v>-200761614.53999999</v>
      </c>
      <c r="C60" s="12">
        <v>-177556248.43000001</v>
      </c>
      <c r="D60" s="5">
        <f>-B60/$B$53</f>
        <v>0.9472934923701023</v>
      </c>
      <c r="E60" s="5">
        <f>-C60/$C$53</f>
        <v>0.94525381583002432</v>
      </c>
      <c r="F60" s="5">
        <f>-(B60-C60)/ABS(C60)</f>
        <v>0.13069304130487133</v>
      </c>
    </row>
    <row r="61" spans="1:6" ht="15.75" customHeight="1">
      <c r="A61" s="11" t="s">
        <v>55</v>
      </c>
      <c r="B61" s="12">
        <v>4028084.46</v>
      </c>
      <c r="C61" s="12">
        <v>4235978.0999999996</v>
      </c>
      <c r="D61" s="5">
        <f t="shared" si="3"/>
        <v>1.9006512795875515E-2</v>
      </c>
      <c r="E61" s="5">
        <f t="shared" si="4"/>
        <v>2.2551019737139733E-2</v>
      </c>
      <c r="F61" s="5">
        <f t="shared" si="5"/>
        <v>-4.9078072429127921E-2</v>
      </c>
    </row>
    <row r="62" spans="1:6" ht="15.75" customHeight="1">
      <c r="A62" s="13" t="s">
        <v>56</v>
      </c>
      <c r="B62" s="14">
        <v>-4527888.17</v>
      </c>
      <c r="C62" s="14">
        <v>-3041076.48</v>
      </c>
      <c r="D62" s="5">
        <f>-B62/$B$53</f>
        <v>2.1364836138862482E-2</v>
      </c>
      <c r="E62" s="5">
        <f>-C62/$C$53</f>
        <v>1.6189738025942917E-2</v>
      </c>
      <c r="F62" s="5">
        <f>-(B62-C62)/ABS(C62)</f>
        <v>0.48890966727676638</v>
      </c>
    </row>
    <row r="63" spans="1:6" ht="15.75" customHeight="1">
      <c r="A63" s="13" t="s">
        <v>57</v>
      </c>
      <c r="B63" s="14">
        <v>-6176170.2999999998</v>
      </c>
      <c r="C63" s="14">
        <v>-4776104.5199999996</v>
      </c>
      <c r="D63" s="5">
        <f>-B63/$B$53</f>
        <v>2.9142253843519535E-2</v>
      </c>
      <c r="E63" s="5">
        <f>-C63/$C$53</f>
        <v>2.5426483507353895E-2</v>
      </c>
      <c r="F63" s="5">
        <f>-(B63-C63)/ABS(C63)</f>
        <v>0.2931396861474046</v>
      </c>
    </row>
    <row r="64" spans="1:6" ht="15.75" customHeight="1">
      <c r="A64" s="13" t="s">
        <v>58</v>
      </c>
      <c r="B64" s="14">
        <v>1858157.52</v>
      </c>
      <c r="C64" s="14">
        <v>1973413.28</v>
      </c>
      <c r="D64" s="5">
        <f t="shared" si="3"/>
        <v>8.7677145380989138E-3</v>
      </c>
      <c r="E64" s="5">
        <f t="shared" si="4"/>
        <v>1.0505833782949364E-2</v>
      </c>
      <c r="F64" s="5">
        <f t="shared" si="5"/>
        <v>-5.8404268972994854E-2</v>
      </c>
    </row>
    <row r="65" spans="1:256" ht="15.75" customHeight="1">
      <c r="A65" s="13" t="s">
        <v>59</v>
      </c>
      <c r="B65" s="14">
        <v>2901980.69</v>
      </c>
      <c r="C65" s="14">
        <v>2261730.84</v>
      </c>
      <c r="D65" s="5">
        <f t="shared" si="3"/>
        <v>1.3692993199519122E-2</v>
      </c>
      <c r="E65" s="5">
        <f t="shared" si="4"/>
        <v>1.2040746106061697E-2</v>
      </c>
      <c r="F65" s="5">
        <f t="shared" si="5"/>
        <v>0.28307959491766937</v>
      </c>
    </row>
    <row r="66" spans="1:256" ht="15.75" customHeight="1">
      <c r="A66" s="13" t="s">
        <v>60</v>
      </c>
      <c r="B66" s="14">
        <v>1076490.6000000001</v>
      </c>
      <c r="C66" s="14">
        <v>-58053.81</v>
      </c>
      <c r="D66" s="5">
        <f t="shared" si="3"/>
        <v>5.0794198996362934E-3</v>
      </c>
      <c r="E66" s="5">
        <f t="shared" si="4"/>
        <v>-3.0906028884477947E-4</v>
      </c>
      <c r="F66" s="5">
        <f t="shared" si="5"/>
        <v>19.542979349675761</v>
      </c>
    </row>
    <row r="67" spans="1:256" ht="15.75" customHeight="1">
      <c r="A67" s="11" t="s">
        <v>61</v>
      </c>
      <c r="B67" s="12">
        <v>-839345.2</v>
      </c>
      <c r="C67" s="12">
        <v>595887.41</v>
      </c>
      <c r="D67" s="5">
        <f>-B67/$B$53</f>
        <v>3.9604495492521754E-3</v>
      </c>
      <c r="E67" s="5">
        <f t="shared" si="4"/>
        <v>3.1723178040092034E-3</v>
      </c>
      <c r="F67" s="5">
        <f t="shared" si="5"/>
        <v>-2.4085634062985148</v>
      </c>
    </row>
    <row r="68" spans="1:256" ht="15.75" customHeight="1">
      <c r="A68" s="11" t="s">
        <v>62</v>
      </c>
      <c r="B68" s="12">
        <v>7507485</v>
      </c>
      <c r="C68" s="12">
        <v>11670466.24</v>
      </c>
      <c r="D68" s="5">
        <f t="shared" si="3"/>
        <v>3.5424061023125494E-2</v>
      </c>
      <c r="E68" s="5">
        <f t="shared" si="4"/>
        <v>6.2129904429832378E-2</v>
      </c>
      <c r="F68" s="5">
        <f t="shared" si="5"/>
        <v>-0.35671079067360384</v>
      </c>
    </row>
    <row r="69" spans="1:256" ht="15.75" customHeight="1">
      <c r="A69" s="13" t="s">
        <v>63</v>
      </c>
      <c r="B69" s="14">
        <v>27428.99</v>
      </c>
      <c r="C69" s="14">
        <v>192047.05</v>
      </c>
      <c r="D69" s="5">
        <f t="shared" si="3"/>
        <v>1.2942366392509596E-4</v>
      </c>
      <c r="E69" s="5">
        <f t="shared" si="4"/>
        <v>1.0223983015892979E-3</v>
      </c>
      <c r="F69" s="5">
        <f t="shared" si="5"/>
        <v>-0.85717567648136228</v>
      </c>
    </row>
    <row r="70" spans="1:256" ht="15.75" customHeight="1">
      <c r="A70" s="13" t="s">
        <v>64</v>
      </c>
      <c r="B70" s="14">
        <v>1120751.81</v>
      </c>
      <c r="C70" s="14">
        <v>2595446.2799999998</v>
      </c>
      <c r="D70" s="5">
        <f t="shared" si="3"/>
        <v>5.2882663780504857E-3</v>
      </c>
      <c r="E70" s="5">
        <f t="shared" si="4"/>
        <v>1.3817342513401071E-2</v>
      </c>
      <c r="F70" s="5">
        <f t="shared" si="5"/>
        <v>-0.56818531801783234</v>
      </c>
    </row>
    <row r="71" spans="1:256" ht="15.75" customHeight="1">
      <c r="A71" s="13" t="s">
        <v>65</v>
      </c>
      <c r="B71" s="14">
        <v>6359304.2000000002</v>
      </c>
      <c r="C71" s="14">
        <v>8882972.9100000001</v>
      </c>
      <c r="D71" s="5">
        <f t="shared" si="3"/>
        <v>3.0006370981149912E-2</v>
      </c>
      <c r="E71" s="5">
        <f t="shared" si="4"/>
        <v>4.7290163614842007E-2</v>
      </c>
      <c r="F71" s="5">
        <f t="shared" si="5"/>
        <v>-0.28410181316200817</v>
      </c>
    </row>
    <row r="72" spans="1:256" ht="15.75" customHeight="1">
      <c r="A72" s="11" t="s">
        <v>66</v>
      </c>
      <c r="B72" s="12">
        <v>6668139.7999999998</v>
      </c>
      <c r="C72" s="12">
        <v>12266353.65</v>
      </c>
      <c r="D72" s="5">
        <f t="shared" si="3"/>
        <v>3.1463611473873318E-2</v>
      </c>
      <c r="E72" s="5">
        <f t="shared" si="4"/>
        <v>6.5302222233841592E-2</v>
      </c>
      <c r="F72" s="5">
        <f t="shared" si="5"/>
        <v>-0.45638777502554723</v>
      </c>
    </row>
    <row r="74" spans="1:256">
      <c r="A74" s="15" t="s">
        <v>67</v>
      </c>
      <c r="B74" s="16">
        <f>B75*B76</f>
        <v>2.636838477986295E-2</v>
      </c>
      <c r="C74" s="17">
        <f>C75*C76</f>
        <v>5.1343319718105233E-2</v>
      </c>
    </row>
    <row r="75" spans="1:256">
      <c r="A75" s="18" t="s">
        <v>68</v>
      </c>
      <c r="B75" s="19">
        <f>B72/B53</f>
        <v>3.1463611473873318E-2</v>
      </c>
      <c r="C75" s="20">
        <f>C72/C53</f>
        <v>6.5302222233841592E-2</v>
      </c>
      <c r="IV75" s="21"/>
    </row>
    <row r="76" spans="1:256">
      <c r="A76" s="18" t="s">
        <v>69</v>
      </c>
      <c r="B76" s="22">
        <f>B53/B29</f>
        <v>0.83805969959165905</v>
      </c>
      <c r="C76" s="23">
        <f>C53/C29</f>
        <v>0.78624153913551764</v>
      </c>
    </row>
    <row r="77" spans="1:256">
      <c r="A77" s="18" t="s">
        <v>70</v>
      </c>
      <c r="B77" s="19">
        <f>B72/B29</f>
        <v>2.6368384779862947E-2</v>
      </c>
      <c r="C77" s="20">
        <f>C72/C29</f>
        <v>5.1343319718105226E-2</v>
      </c>
    </row>
    <row r="78" spans="1:256">
      <c r="A78" s="24"/>
      <c r="B78" s="25"/>
      <c r="C78" s="26"/>
    </row>
    <row r="79" spans="1:256">
      <c r="A79" s="27" t="s">
        <v>71</v>
      </c>
      <c r="B79" s="19">
        <f>B80*B74</f>
        <v>3.9302166985143661E-2</v>
      </c>
      <c r="C79" s="20">
        <f>C80*C74</f>
        <v>7.5611035422019593E-2</v>
      </c>
    </row>
    <row r="80" spans="1:256">
      <c r="A80" s="18" t="s">
        <v>72</v>
      </c>
      <c r="B80" s="22">
        <f>B29/B47</f>
        <v>1.4905033931072638</v>
      </c>
      <c r="C80" s="23">
        <f>C29/C47</f>
        <v>1.4726557580840807</v>
      </c>
    </row>
    <row r="81" spans="1:3">
      <c r="A81" s="18" t="s">
        <v>73</v>
      </c>
      <c r="B81" s="19">
        <f>B72/B47</f>
        <v>3.9302166985143654E-2</v>
      </c>
      <c r="C81" s="20">
        <f>C72/C47</f>
        <v>7.5611035422019579E-2</v>
      </c>
    </row>
    <row r="82" spans="1:3">
      <c r="A82" s="24"/>
      <c r="B82" s="25"/>
      <c r="C82" s="26"/>
    </row>
    <row r="83" spans="1:3">
      <c r="A83" s="28" t="s">
        <v>74</v>
      </c>
      <c r="B83" s="22">
        <f>B6/B33</f>
        <v>1.1208173480550456</v>
      </c>
      <c r="C83" s="23">
        <f>C6/C33</f>
        <v>0.84837743047093672</v>
      </c>
    </row>
    <row r="84" spans="1:3">
      <c r="A84" s="28" t="s">
        <v>75</v>
      </c>
      <c r="B84" s="22">
        <f>(B6-B18)/B33</f>
        <v>1.0184713830714338</v>
      </c>
      <c r="C84" s="23">
        <f>(C6-C18)/C33</f>
        <v>0.76034097601958661</v>
      </c>
    </row>
    <row r="85" spans="1:3">
      <c r="A85" s="28" t="s">
        <v>76</v>
      </c>
      <c r="B85" s="29">
        <f>B7/B29</f>
        <v>4.2236066780249656E-3</v>
      </c>
      <c r="C85" s="30">
        <f>C7/C29</f>
        <v>2.5113336713977336E-3</v>
      </c>
    </row>
    <row r="86" spans="1:3">
      <c r="A86" s="28" t="s">
        <v>77</v>
      </c>
      <c r="B86" s="31">
        <f>B6-B33</f>
        <v>6358113.25</v>
      </c>
      <c r="C86" s="32">
        <f>C6-C33</f>
        <v>-8169143.2199999988</v>
      </c>
    </row>
    <row r="87" spans="1:3">
      <c r="A87" s="28" t="s">
        <v>78</v>
      </c>
      <c r="B87" s="31">
        <f>B12+B13+B17+B18+B19-SUM(B34:B40)</f>
        <v>9613263.6799999997</v>
      </c>
      <c r="C87" s="32">
        <f>C12+C13+C17+C18+C19-SUM(C34:C40)</f>
        <v>2473432.5899999812</v>
      </c>
    </row>
    <row r="88" spans="1:3">
      <c r="A88" s="28" t="s">
        <v>79</v>
      </c>
      <c r="B88" s="31">
        <f>B86-B87</f>
        <v>-3255150.4299999997</v>
      </c>
      <c r="C88" s="32">
        <f>C86-C87</f>
        <v>-10642575.80999998</v>
      </c>
    </row>
    <row r="89" spans="1:3">
      <c r="A89" s="24"/>
      <c r="B89" s="33"/>
      <c r="C89" s="34"/>
    </row>
    <row r="90" spans="1:3">
      <c r="A90" s="28" t="s">
        <v>80</v>
      </c>
      <c r="B90" s="19">
        <f>(B33+B42)/B47</f>
        <v>0.49050339310726382</v>
      </c>
      <c r="C90" s="20">
        <f>(C33+C42)/C47</f>
        <v>0.47265575808408061</v>
      </c>
    </row>
    <row r="91" spans="1:3">
      <c r="A91" s="24"/>
      <c r="B91" s="33"/>
      <c r="C91" s="34"/>
    </row>
    <row r="92" spans="1:3">
      <c r="A92" s="28" t="s">
        <v>81</v>
      </c>
      <c r="B92" s="35">
        <f>B18/-B60*365</f>
        <v>9.792235972022981</v>
      </c>
      <c r="C92" s="36">
        <f>C18/-C60*365</f>
        <v>9.7506171731970515</v>
      </c>
    </row>
    <row r="93" spans="1:3">
      <c r="A93" s="28" t="s">
        <v>82</v>
      </c>
      <c r="B93" s="35">
        <f>B12/B53*365</f>
        <v>89.645044564054416</v>
      </c>
      <c r="C93" s="36">
        <f>C12/C53*365</f>
        <v>78.128842515455688</v>
      </c>
    </row>
    <row r="94" spans="1:3">
      <c r="A94" s="28" t="s">
        <v>83</v>
      </c>
      <c r="B94" s="35">
        <f>B34/-B60*365</f>
        <v>44.622174005604606</v>
      </c>
      <c r="C94" s="36">
        <f>C34/-C60*365</f>
        <v>41.958971504385708</v>
      </c>
    </row>
    <row r="95" spans="1:3">
      <c r="A95" s="37" t="s">
        <v>84</v>
      </c>
      <c r="B95" s="38">
        <f>B92+B93-B94</f>
        <v>54.815106530472789</v>
      </c>
      <c r="C95" s="39">
        <f>C92+C93-C94</f>
        <v>45.920488184267036</v>
      </c>
    </row>
  </sheetData>
  <mergeCells count="4">
    <mergeCell ref="A3:C3"/>
    <mergeCell ref="A4:C4"/>
    <mergeCell ref="A30:C30"/>
    <mergeCell ref="A31:C31"/>
  </mergeCells>
  <pageMargins left="0.39370078740157483" right="0.39370078740157483" top="0.98425196850393704" bottom="0.98425196850393704" header="0.51181102362204722" footer="0.51181102362204722"/>
  <pageSetup orientation="portrait" horizontalDpi="1200" verticalDpi="12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showGridLines="0" workbookViewId="0">
      <selection activeCell="J25" sqref="J25"/>
    </sheetView>
  </sheetViews>
  <sheetFormatPr baseColWidth="10" defaultColWidth="8.83203125" defaultRowHeight="13"/>
  <cols>
    <col min="1" max="1" width="47.1640625" bestFit="1" customWidth="1"/>
    <col min="2" max="5" width="9.83203125" customWidth="1"/>
  </cols>
  <sheetData>
    <row r="1" spans="1:8">
      <c r="A1" s="145" t="s">
        <v>490</v>
      </c>
    </row>
    <row r="3" spans="1:8">
      <c r="A3" s="141" t="s">
        <v>306</v>
      </c>
      <c r="B3" s="142"/>
      <c r="C3" s="141"/>
      <c r="D3" s="141"/>
      <c r="E3" s="142"/>
      <c r="F3" s="141"/>
    </row>
    <row r="4" spans="1:8">
      <c r="A4" s="42" t="s">
        <v>307</v>
      </c>
      <c r="B4" s="143">
        <v>500</v>
      </c>
      <c r="C4" s="42">
        <v>1000</v>
      </c>
      <c r="D4" s="42">
        <v>1500</v>
      </c>
      <c r="E4" s="143">
        <v>2250</v>
      </c>
      <c r="F4" s="143">
        <v>3000</v>
      </c>
    </row>
    <row r="5" spans="1:8">
      <c r="A5" t="s">
        <v>199</v>
      </c>
      <c r="B5" s="144">
        <f>B4*10</f>
        <v>5000</v>
      </c>
      <c r="C5" s="144">
        <f>C4*10</f>
        <v>10000</v>
      </c>
      <c r="D5" s="144">
        <f>D4*10</f>
        <v>15000</v>
      </c>
      <c r="E5" s="144">
        <f>E4*10</f>
        <v>22500</v>
      </c>
      <c r="F5" s="144">
        <f>F4*10</f>
        <v>30000</v>
      </c>
    </row>
    <row r="6" spans="1:8">
      <c r="A6" t="s">
        <v>308</v>
      </c>
      <c r="B6" s="144">
        <f>B4*5</f>
        <v>2500</v>
      </c>
      <c r="C6" s="144">
        <f>C4*5</f>
        <v>5000</v>
      </c>
      <c r="D6" s="144">
        <f>D4*5</f>
        <v>7500</v>
      </c>
      <c r="E6" s="144">
        <f>E4*5</f>
        <v>11250</v>
      </c>
      <c r="F6" s="144">
        <f>F4*5</f>
        <v>15000</v>
      </c>
    </row>
    <row r="7" spans="1:8">
      <c r="A7" t="s">
        <v>309</v>
      </c>
      <c r="B7" s="144">
        <v>2500</v>
      </c>
      <c r="C7" s="144">
        <v>2500</v>
      </c>
      <c r="D7" s="144">
        <v>2500</v>
      </c>
      <c r="E7" s="144">
        <v>2500</v>
      </c>
      <c r="F7" s="144">
        <v>2500</v>
      </c>
    </row>
    <row r="8" spans="1:8">
      <c r="A8" t="s">
        <v>310</v>
      </c>
      <c r="B8" s="144">
        <f>B5-B6-B7</f>
        <v>0</v>
      </c>
      <c r="C8" s="144">
        <f>C5-C6-C7</f>
        <v>2500</v>
      </c>
      <c r="D8" s="144">
        <f>D5-D6-D7</f>
        <v>5000</v>
      </c>
      <c r="E8" s="144">
        <f>E5-E6-E7</f>
        <v>8750</v>
      </c>
      <c r="F8" s="144">
        <f>F5-F6-F7</f>
        <v>12500</v>
      </c>
    </row>
    <row r="9" spans="1:8">
      <c r="A9" s="145" t="s">
        <v>311</v>
      </c>
      <c r="B9" s="146">
        <f>B5/C5-1</f>
        <v>-0.5</v>
      </c>
      <c r="C9" s="146">
        <f>(C4/B4-1)</f>
        <v>1</v>
      </c>
      <c r="D9" s="146">
        <f>(D4/C4-1)</f>
        <v>0.5</v>
      </c>
      <c r="E9" s="146">
        <f>(E4/D4-1)</f>
        <v>0.5</v>
      </c>
      <c r="F9" s="146">
        <f>(F4/E4-1)</f>
        <v>0.33333333333333326</v>
      </c>
      <c r="H9" s="146"/>
    </row>
    <row r="10" spans="1:8">
      <c r="A10" s="145" t="s">
        <v>312</v>
      </c>
      <c r="B10" s="146">
        <f>B8/C8-1</f>
        <v>-1</v>
      </c>
      <c r="C10" s="147" t="s">
        <v>175</v>
      </c>
      <c r="D10" s="146">
        <f>(D8/C8-1)</f>
        <v>1</v>
      </c>
      <c r="E10" s="146">
        <f>(E8/D8-1)</f>
        <v>0.75</v>
      </c>
      <c r="F10" s="146">
        <f>(F8/E8-1)</f>
        <v>0.4285714285714286</v>
      </c>
      <c r="H10" s="148"/>
    </row>
    <row r="11" spans="1:8">
      <c r="A11" s="145"/>
      <c r="B11" s="146"/>
      <c r="C11" s="147"/>
      <c r="D11" s="146"/>
      <c r="E11" s="146"/>
      <c r="F11" s="146"/>
    </row>
    <row r="12" spans="1:8">
      <c r="A12" s="149" t="s">
        <v>313</v>
      </c>
      <c r="B12" s="150"/>
      <c r="C12" s="151"/>
      <c r="D12" s="152"/>
      <c r="E12" s="152"/>
      <c r="F12" s="152"/>
    </row>
    <row r="13" spans="1:8">
      <c r="A13" s="145" t="s">
        <v>314</v>
      </c>
      <c r="B13" s="153"/>
      <c r="C13" s="154">
        <f>D10/D9</f>
        <v>2</v>
      </c>
      <c r="D13" s="154">
        <f>E10/E9</f>
        <v>1.5</v>
      </c>
      <c r="E13" s="154">
        <f>F10/F9</f>
        <v>1.285714285714286</v>
      </c>
      <c r="F13" s="154"/>
    </row>
    <row r="14" spans="1:8">
      <c r="A14" s="145" t="s">
        <v>315</v>
      </c>
      <c r="B14" s="153"/>
      <c r="C14" s="154">
        <f>(C4*(10-5))/(C4*(10-5)-C7)</f>
        <v>2</v>
      </c>
      <c r="D14" s="154">
        <f>(D4*(10-5))/(D4*(10-5)-D7)</f>
        <v>1.5</v>
      </c>
      <c r="E14" s="154">
        <f>(E4*(10-5))/(E4*(10-5)-E7)</f>
        <v>1.2857142857142858</v>
      </c>
      <c r="F14" s="154">
        <f>(F4*(10-5))/(F4*(10-5)-F7)</f>
        <v>1.2</v>
      </c>
    </row>
    <row r="15" spans="1:8">
      <c r="A15" s="145"/>
      <c r="B15" s="153"/>
      <c r="C15" s="154"/>
      <c r="D15" s="154"/>
      <c r="E15" s="154"/>
      <c r="F15" s="154"/>
    </row>
    <row r="16" spans="1:8">
      <c r="A16" s="149" t="s">
        <v>316</v>
      </c>
      <c r="B16" s="150"/>
      <c r="C16" s="155"/>
      <c r="D16" s="155"/>
      <c r="E16" s="155"/>
      <c r="F16" s="155"/>
    </row>
    <row r="17" spans="1:6">
      <c r="A17" s="156" t="s">
        <v>317</v>
      </c>
      <c r="B17" s="157">
        <f>B7/(10-5)</f>
        <v>500</v>
      </c>
      <c r="C17" s="158"/>
      <c r="D17" s="158"/>
      <c r="E17" s="158"/>
      <c r="F17" s="158"/>
    </row>
    <row r="18" spans="1:6">
      <c r="A18" s="159" t="s">
        <v>318</v>
      </c>
      <c r="B18" s="157">
        <f>3000/(10-5)</f>
        <v>600</v>
      </c>
      <c r="C18" s="158"/>
      <c r="D18" s="158"/>
      <c r="E18" s="158"/>
      <c r="F18" s="158"/>
    </row>
    <row r="19" spans="1:6">
      <c r="A19" s="159" t="s">
        <v>319</v>
      </c>
      <c r="B19" s="157">
        <f>2500/(12.5-5)</f>
        <v>333.33333333333331</v>
      </c>
      <c r="C19" s="158"/>
      <c r="D19" s="158"/>
      <c r="E19" s="158"/>
      <c r="F19" s="158"/>
    </row>
    <row r="20" spans="1:6">
      <c r="A20" s="159" t="s">
        <v>320</v>
      </c>
      <c r="B20" s="157">
        <f>2500/(10-7.5)</f>
        <v>1000</v>
      </c>
      <c r="C20" s="158"/>
      <c r="D20" s="158"/>
      <c r="E20" s="158"/>
      <c r="F20" s="158"/>
    </row>
    <row r="21" spans="1:6">
      <c r="A21" s="160"/>
      <c r="B21" s="157"/>
      <c r="C21" s="158"/>
      <c r="D21" s="158"/>
      <c r="E21" s="158"/>
      <c r="F21" s="158"/>
    </row>
    <row r="22" spans="1:6">
      <c r="A22" s="160"/>
      <c r="B22" s="157"/>
      <c r="C22" s="158"/>
      <c r="D22" s="158"/>
      <c r="E22" s="158"/>
      <c r="F22" s="158"/>
    </row>
    <row r="23" spans="1:6">
      <c r="A23" s="145"/>
      <c r="B23" s="153"/>
      <c r="C23" s="145"/>
      <c r="D23" s="154"/>
      <c r="E23" s="154"/>
    </row>
    <row r="24" spans="1:6">
      <c r="A24" s="141" t="s">
        <v>321</v>
      </c>
      <c r="B24" s="142"/>
      <c r="C24" s="141"/>
      <c r="D24" s="141"/>
      <c r="E24" s="142"/>
      <c r="F24" s="141"/>
    </row>
    <row r="25" spans="1:6">
      <c r="A25" s="42" t="s">
        <v>307</v>
      </c>
      <c r="B25" s="143">
        <v>500</v>
      </c>
      <c r="C25" s="42">
        <v>1000</v>
      </c>
      <c r="D25" s="42">
        <v>1500</v>
      </c>
      <c r="E25" s="143">
        <v>2250</v>
      </c>
      <c r="F25" s="143">
        <v>3000</v>
      </c>
    </row>
    <row r="26" spans="1:6">
      <c r="A26" t="s">
        <v>199</v>
      </c>
      <c r="B26" s="144">
        <f>B25*10</f>
        <v>5000</v>
      </c>
      <c r="C26" s="144">
        <f>C25*10</f>
        <v>10000</v>
      </c>
      <c r="D26" s="144">
        <f>D25*10</f>
        <v>15000</v>
      </c>
      <c r="E26" s="144">
        <f>E25*10</f>
        <v>22500</v>
      </c>
      <c r="F26" s="144">
        <f>F25*10</f>
        <v>30000</v>
      </c>
    </row>
    <row r="27" spans="1:6">
      <c r="A27" t="s">
        <v>308</v>
      </c>
      <c r="B27" s="144">
        <f>B25*4.5</f>
        <v>2250</v>
      </c>
      <c r="C27" s="144">
        <f>C25*4.5</f>
        <v>4500</v>
      </c>
      <c r="D27" s="144">
        <f>D25*4.5</f>
        <v>6750</v>
      </c>
      <c r="E27" s="144">
        <f>E25*4.5</f>
        <v>10125</v>
      </c>
      <c r="F27" s="144">
        <f>F25*4.5</f>
        <v>13500</v>
      </c>
    </row>
    <row r="28" spans="1:6">
      <c r="A28" t="s">
        <v>309</v>
      </c>
      <c r="B28" s="144">
        <v>3000</v>
      </c>
      <c r="C28" s="144">
        <v>3000</v>
      </c>
      <c r="D28" s="144">
        <v>3000</v>
      </c>
      <c r="E28" s="144">
        <v>3000</v>
      </c>
      <c r="F28" s="144">
        <v>3000</v>
      </c>
    </row>
    <row r="29" spans="1:6">
      <c r="A29" t="s">
        <v>310</v>
      </c>
      <c r="B29" s="161">
        <f>B26-B27-B28</f>
        <v>-250</v>
      </c>
      <c r="C29" s="144">
        <f>C26-C27-C28</f>
        <v>2500</v>
      </c>
      <c r="D29" s="144">
        <f>D26-D27-D28</f>
        <v>5250</v>
      </c>
      <c r="E29" s="144">
        <f>E26-E27-E28</f>
        <v>9375</v>
      </c>
      <c r="F29" s="144">
        <f>F26-F27-F28</f>
        <v>13500</v>
      </c>
    </row>
    <row r="30" spans="1:6">
      <c r="A30" s="145" t="s">
        <v>311</v>
      </c>
      <c r="B30" s="146">
        <f>B26/C26-1</f>
        <v>-0.5</v>
      </c>
      <c r="C30" s="146">
        <f>(C25/B25-1)</f>
        <v>1</v>
      </c>
      <c r="D30" s="146">
        <f>(D25/C25-1)</f>
        <v>0.5</v>
      </c>
      <c r="E30" s="146">
        <f>(E25/D25-1)</f>
        <v>0.5</v>
      </c>
      <c r="F30" s="146">
        <f>(F25/E25-1)</f>
        <v>0.33333333333333326</v>
      </c>
    </row>
    <row r="31" spans="1:6">
      <c r="A31" s="145" t="s">
        <v>312</v>
      </c>
      <c r="B31" s="146">
        <f>B29/C29-1</f>
        <v>-1.1000000000000001</v>
      </c>
      <c r="C31" s="147" t="s">
        <v>175</v>
      </c>
      <c r="D31" s="146">
        <f>(D29/C29-1)</f>
        <v>1.1000000000000001</v>
      </c>
      <c r="E31" s="146">
        <f>(E29/D29-1)</f>
        <v>0.78571428571428581</v>
      </c>
      <c r="F31" s="146">
        <f>(F29/E29-1)</f>
        <v>0.43999999999999995</v>
      </c>
    </row>
    <row r="32" spans="1:6">
      <c r="A32" s="145"/>
      <c r="B32" s="146"/>
      <c r="C32" s="147"/>
      <c r="D32" s="146"/>
      <c r="E32" s="146"/>
      <c r="F32" s="146"/>
    </row>
    <row r="33" spans="1:6">
      <c r="A33" s="149" t="s">
        <v>313</v>
      </c>
      <c r="B33" s="150"/>
      <c r="C33" s="151"/>
      <c r="D33" s="152"/>
      <c r="E33" s="152"/>
      <c r="F33" s="152"/>
    </row>
    <row r="34" spans="1:6">
      <c r="A34" s="145" t="s">
        <v>314</v>
      </c>
      <c r="B34" s="153"/>
      <c r="C34" s="154">
        <f>D31/D30</f>
        <v>2.2000000000000002</v>
      </c>
      <c r="D34" s="154">
        <f>E31/E30</f>
        <v>1.5714285714285716</v>
      </c>
      <c r="E34" s="154">
        <f>F31/F30</f>
        <v>1.32</v>
      </c>
      <c r="F34" s="154"/>
    </row>
    <row r="35" spans="1:6">
      <c r="A35" s="145" t="s">
        <v>315</v>
      </c>
      <c r="B35" s="153"/>
      <c r="C35" s="154">
        <f>(C25*(10-4.5))/(C25*(10-4.5)-C28)</f>
        <v>2.2000000000000002</v>
      </c>
      <c r="D35" s="154">
        <f>(D25*(10-4.5))/(D25*(10-4.5)-D28)</f>
        <v>1.5714285714285714</v>
      </c>
      <c r="E35" s="154">
        <f>(E25*(10-4.5))/(E25*(10-4.5)-E28)</f>
        <v>1.32</v>
      </c>
      <c r="F35" s="154">
        <f>(F25*(10-4.5))/(F25*(10-4.5)-F28)</f>
        <v>1.2222222222222223</v>
      </c>
    </row>
    <row r="36" spans="1:6">
      <c r="A36" s="145"/>
      <c r="B36" s="162"/>
      <c r="C36" s="145"/>
      <c r="D36" s="154"/>
      <c r="E36" s="154"/>
    </row>
    <row r="37" spans="1:6">
      <c r="A37" s="145"/>
      <c r="B37" s="153"/>
      <c r="C37" s="145"/>
      <c r="D37" s="154"/>
      <c r="E37" s="154"/>
    </row>
  </sheetData>
  <pageMargins left="0.75" right="0.75" top="1" bottom="1" header="0.49212598499999999" footer="0.49212598499999999"/>
  <pageSetup orientation="landscape" horizontalDpi="1200" verticalDpi="12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showGridLines="0" workbookViewId="0">
      <selection activeCell="H13" sqref="H13"/>
    </sheetView>
  </sheetViews>
  <sheetFormatPr baseColWidth="10" defaultColWidth="8.83203125" defaultRowHeight="13"/>
  <cols>
    <col min="1" max="1" width="47.1640625" bestFit="1" customWidth="1"/>
    <col min="2" max="4" width="9.83203125" customWidth="1"/>
  </cols>
  <sheetData>
    <row r="1" spans="1:6">
      <c r="A1" s="145" t="s">
        <v>491</v>
      </c>
    </row>
    <row r="3" spans="1:6">
      <c r="A3" s="141" t="s">
        <v>322</v>
      </c>
      <c r="B3" s="142"/>
      <c r="C3" s="141"/>
      <c r="D3" s="141"/>
      <c r="E3" s="141"/>
      <c r="F3" s="141"/>
    </row>
    <row r="4" spans="1:6">
      <c r="A4" s="42" t="s">
        <v>307</v>
      </c>
      <c r="B4" s="143">
        <v>1700</v>
      </c>
      <c r="C4" s="42">
        <v>2500</v>
      </c>
      <c r="D4" s="42">
        <v>3300</v>
      </c>
      <c r="E4" s="42">
        <v>4000</v>
      </c>
      <c r="F4" s="42">
        <v>5000</v>
      </c>
    </row>
    <row r="5" spans="1:6">
      <c r="A5" t="s">
        <v>199</v>
      </c>
      <c r="B5" s="144">
        <f>B4*10</f>
        <v>17000</v>
      </c>
      <c r="C5" s="144">
        <f>C4*10</f>
        <v>25000</v>
      </c>
      <c r="D5" s="144">
        <f>D4*10</f>
        <v>33000</v>
      </c>
      <c r="E5" s="144">
        <f>E4*10</f>
        <v>40000</v>
      </c>
      <c r="F5" s="144">
        <f>F4*10</f>
        <v>50000</v>
      </c>
    </row>
    <row r="6" spans="1:6">
      <c r="A6" t="s">
        <v>308</v>
      </c>
      <c r="B6" s="144">
        <f>B4*5</f>
        <v>8500</v>
      </c>
      <c r="C6" s="144">
        <f>C4*5</f>
        <v>12500</v>
      </c>
      <c r="D6" s="144">
        <f>D4*5</f>
        <v>16500</v>
      </c>
      <c r="E6" s="144">
        <f>E4*5</f>
        <v>20000</v>
      </c>
      <c r="F6" s="144">
        <f>F4*5</f>
        <v>25000</v>
      </c>
    </row>
    <row r="7" spans="1:6">
      <c r="A7" t="s">
        <v>309</v>
      </c>
      <c r="B7" s="144">
        <v>2500</v>
      </c>
      <c r="C7" s="144">
        <v>2500</v>
      </c>
      <c r="D7" s="144">
        <v>2500</v>
      </c>
      <c r="E7" s="144">
        <v>2500</v>
      </c>
      <c r="F7" s="144">
        <v>2500</v>
      </c>
    </row>
    <row r="8" spans="1:6">
      <c r="A8" t="s">
        <v>310</v>
      </c>
      <c r="B8" s="144">
        <f>B5-B6-B7</f>
        <v>6000</v>
      </c>
      <c r="C8" s="144">
        <f>C5-C6-C7</f>
        <v>10000</v>
      </c>
      <c r="D8" s="144">
        <f>D5-D6-D7</f>
        <v>14000</v>
      </c>
      <c r="E8" s="144">
        <f>E5-E6-E7</f>
        <v>17500</v>
      </c>
      <c r="F8" s="144">
        <f>F5-F6-F7</f>
        <v>22500</v>
      </c>
    </row>
    <row r="9" spans="1:6">
      <c r="A9" t="s">
        <v>323</v>
      </c>
      <c r="B9" s="144">
        <f>0.1*20000</f>
        <v>2000</v>
      </c>
      <c r="C9" s="144">
        <f>0.1*20000</f>
        <v>2000</v>
      </c>
      <c r="D9" s="144">
        <f>0.1*20000</f>
        <v>2000</v>
      </c>
      <c r="E9" s="144">
        <f>0.1*20000</f>
        <v>2000</v>
      </c>
      <c r="F9" s="144">
        <f>0.1*20000</f>
        <v>2000</v>
      </c>
    </row>
    <row r="10" spans="1:6">
      <c r="A10" t="s">
        <v>324</v>
      </c>
      <c r="B10" s="144">
        <f>B8-B9</f>
        <v>4000</v>
      </c>
      <c r="C10" s="144">
        <f>C8-C9</f>
        <v>8000</v>
      </c>
      <c r="D10" s="144">
        <f>D8-D9</f>
        <v>12000</v>
      </c>
      <c r="E10" s="144">
        <f>E8-E9</f>
        <v>15500</v>
      </c>
      <c r="F10" s="144">
        <f>F8-F9</f>
        <v>20500</v>
      </c>
    </row>
    <row r="11" spans="1:6">
      <c r="A11" t="s">
        <v>325</v>
      </c>
      <c r="B11" s="144">
        <f>B10*0.4</f>
        <v>1600</v>
      </c>
      <c r="C11" s="144">
        <f>C10*0.4</f>
        <v>3200</v>
      </c>
      <c r="D11" s="144">
        <f>D10*0.4</f>
        <v>4800</v>
      </c>
      <c r="E11" s="144">
        <f>E10*0.4</f>
        <v>6200</v>
      </c>
      <c r="F11" s="144">
        <f>F10*0.4</f>
        <v>8200</v>
      </c>
    </row>
    <row r="12" spans="1:6">
      <c r="A12" t="s">
        <v>326</v>
      </c>
      <c r="B12" s="144">
        <f>B10-B11</f>
        <v>2400</v>
      </c>
      <c r="C12" s="144">
        <f>C10-C11</f>
        <v>4800</v>
      </c>
      <c r="D12" s="144">
        <f>D10-D11</f>
        <v>7200</v>
      </c>
      <c r="E12" s="144">
        <f>E10-E11</f>
        <v>9300</v>
      </c>
      <c r="F12" s="144">
        <f>F10-F11</f>
        <v>12300</v>
      </c>
    </row>
    <row r="13" spans="1:6">
      <c r="A13" t="s">
        <v>327</v>
      </c>
      <c r="B13" s="144">
        <f>600*4</f>
        <v>2400</v>
      </c>
      <c r="C13" s="144">
        <f>600*4</f>
        <v>2400</v>
      </c>
      <c r="D13" s="144">
        <f>600*4</f>
        <v>2400</v>
      </c>
      <c r="E13" s="144">
        <f>600*4</f>
        <v>2400</v>
      </c>
      <c r="F13" s="144">
        <f>600*4</f>
        <v>2400</v>
      </c>
    </row>
    <row r="14" spans="1:6">
      <c r="A14" t="s">
        <v>328</v>
      </c>
      <c r="B14" s="144">
        <f>B12-B13</f>
        <v>0</v>
      </c>
      <c r="C14" s="144">
        <f>C12-C13</f>
        <v>2400</v>
      </c>
      <c r="D14" s="144">
        <f>D12-D13</f>
        <v>4800</v>
      </c>
      <c r="E14" s="144">
        <f>E12-E13</f>
        <v>6900</v>
      </c>
      <c r="F14" s="144">
        <f>F12-F13</f>
        <v>9900</v>
      </c>
    </row>
    <row r="15" spans="1:6">
      <c r="A15" t="s">
        <v>329</v>
      </c>
      <c r="B15" s="163">
        <f>B14/1000</f>
        <v>0</v>
      </c>
      <c r="C15" s="163">
        <f>C14/1000</f>
        <v>2.4</v>
      </c>
      <c r="D15" s="163">
        <f>D14/1000</f>
        <v>4.8</v>
      </c>
      <c r="E15" s="163">
        <f>E14/1000</f>
        <v>6.9</v>
      </c>
      <c r="F15" s="163">
        <f>F14/1000</f>
        <v>9.9</v>
      </c>
    </row>
    <row r="16" spans="1:6">
      <c r="A16" s="145" t="s">
        <v>312</v>
      </c>
      <c r="B16" s="146">
        <f>B8/C8-1</f>
        <v>-0.4</v>
      </c>
      <c r="C16" s="146">
        <f>C8/B8-1</f>
        <v>0.66666666666666674</v>
      </c>
      <c r="D16" s="146">
        <f>D8/C8-1</f>
        <v>0.39999999999999991</v>
      </c>
      <c r="E16" s="146">
        <f>E8/D8-1</f>
        <v>0.25</v>
      </c>
      <c r="F16" s="146">
        <f>F8/E8-1</f>
        <v>0.28571428571428581</v>
      </c>
    </row>
    <row r="17" spans="1:6">
      <c r="A17" s="145" t="s">
        <v>330</v>
      </c>
      <c r="B17" s="146">
        <f>B15/C15-1</f>
        <v>-1</v>
      </c>
      <c r="C17" s="147" t="s">
        <v>175</v>
      </c>
      <c r="D17" s="146">
        <f>D15/C15-1</f>
        <v>1</v>
      </c>
      <c r="E17" s="146">
        <f>E15/D15-1</f>
        <v>0.43750000000000022</v>
      </c>
      <c r="F17" s="146">
        <f>F15/E15-1</f>
        <v>0.43478260869565211</v>
      </c>
    </row>
    <row r="18" spans="1:6">
      <c r="A18" s="145"/>
      <c r="B18" s="146"/>
      <c r="C18" s="147"/>
      <c r="D18" s="146"/>
      <c r="E18" s="146"/>
      <c r="F18" s="146"/>
    </row>
    <row r="19" spans="1:6">
      <c r="A19" s="149" t="s">
        <v>331</v>
      </c>
      <c r="B19" s="152"/>
      <c r="C19" s="151"/>
      <c r="D19" s="152"/>
      <c r="E19" s="152"/>
      <c r="F19" s="152"/>
    </row>
    <row r="20" spans="1:6">
      <c r="A20" s="145" t="s">
        <v>332</v>
      </c>
      <c r="B20" s="153"/>
      <c r="C20" s="154">
        <f>D17/D16</f>
        <v>2.5000000000000004</v>
      </c>
      <c r="D20" s="154">
        <f>E17/E16</f>
        <v>1.7500000000000009</v>
      </c>
      <c r="E20" s="154">
        <f>F17/F16</f>
        <v>1.5217391304347818</v>
      </c>
      <c r="F20" s="154"/>
    </row>
    <row r="21" spans="1:6">
      <c r="A21" s="145" t="s">
        <v>333</v>
      </c>
      <c r="B21" s="153"/>
      <c r="C21" s="154">
        <f>(C4*(10-5)-C7)/(C4*(10-5)-C7-C9-C13*(1/(1-0.4)))</f>
        <v>2.5</v>
      </c>
      <c r="D21" s="154">
        <f>(D4*(10-5)-D7)/(D4*(10-5)-D7-D9-D13*(1/(1-0.4)))</f>
        <v>1.75</v>
      </c>
      <c r="E21" s="154">
        <f>(E4*(10-5)-E7)/(E4*(10-5)-E7-E9-E13*(1/(1-0.4)))</f>
        <v>1.5217391304347827</v>
      </c>
      <c r="F21" s="154">
        <f>(F4*(10-5)-F7)/(F4*(10-5)-F7-F9-F13*(1/(1-0.4)))</f>
        <v>1.3636363636363635</v>
      </c>
    </row>
    <row r="22" spans="1:6">
      <c r="A22" s="145"/>
      <c r="B22" s="153"/>
      <c r="C22" s="154"/>
      <c r="D22" s="154"/>
      <c r="E22" s="154"/>
      <c r="F22" s="154"/>
    </row>
    <row r="23" spans="1:6">
      <c r="A23" s="149" t="s">
        <v>334</v>
      </c>
      <c r="B23" s="150"/>
      <c r="C23" s="155"/>
      <c r="D23" s="155"/>
      <c r="E23" s="155"/>
      <c r="F23" s="155"/>
    </row>
    <row r="24" spans="1:6">
      <c r="A24" s="42" t="s">
        <v>307</v>
      </c>
      <c r="B24" s="143">
        <v>1700</v>
      </c>
      <c r="C24" s="42">
        <v>2500</v>
      </c>
      <c r="D24" s="42">
        <v>3300</v>
      </c>
      <c r="E24" s="42">
        <v>4000</v>
      </c>
      <c r="F24" s="42">
        <v>5000</v>
      </c>
    </row>
    <row r="25" spans="1:6">
      <c r="A25" t="s">
        <v>199</v>
      </c>
      <c r="B25" s="144">
        <f>B24*10</f>
        <v>17000</v>
      </c>
      <c r="C25" s="144">
        <f>C24*10</f>
        <v>25000</v>
      </c>
      <c r="D25" s="144">
        <f>D24*10</f>
        <v>33000</v>
      </c>
      <c r="E25" s="144">
        <f>E24*10</f>
        <v>40000</v>
      </c>
      <c r="F25" s="144">
        <f>F24*10</f>
        <v>50000</v>
      </c>
    </row>
    <row r="26" spans="1:6">
      <c r="A26" t="s">
        <v>308</v>
      </c>
      <c r="B26" s="144">
        <f>B24*5</f>
        <v>8500</v>
      </c>
      <c r="C26" s="144">
        <f>C24*5</f>
        <v>12500</v>
      </c>
      <c r="D26" s="144">
        <f>D24*5</f>
        <v>16500</v>
      </c>
      <c r="E26" s="144">
        <f>E24*5</f>
        <v>20000</v>
      </c>
      <c r="F26" s="144">
        <f>F24*5</f>
        <v>25000</v>
      </c>
    </row>
    <row r="27" spans="1:6">
      <c r="A27" t="s">
        <v>309</v>
      </c>
      <c r="B27" s="144">
        <v>2500</v>
      </c>
      <c r="C27" s="144">
        <v>2500</v>
      </c>
      <c r="D27" s="144">
        <v>2500</v>
      </c>
      <c r="E27" s="144">
        <v>2500</v>
      </c>
      <c r="F27" s="144">
        <v>2500</v>
      </c>
    </row>
    <row r="28" spans="1:6">
      <c r="A28" t="s">
        <v>310</v>
      </c>
      <c r="B28" s="144">
        <f>B25-B26-B27</f>
        <v>6000</v>
      </c>
      <c r="C28" s="144">
        <f>C25-C26-C27</f>
        <v>10000</v>
      </c>
      <c r="D28" s="144">
        <f>D25-D26-D27</f>
        <v>14000</v>
      </c>
      <c r="E28" s="144">
        <f>E25-E26-E27</f>
        <v>17500</v>
      </c>
      <c r="F28" s="144">
        <f>F25-F26-F27</f>
        <v>22500</v>
      </c>
    </row>
    <row r="29" spans="1:6">
      <c r="A29" t="s">
        <v>323</v>
      </c>
      <c r="B29" s="144">
        <f>0.1*20000</f>
        <v>2000</v>
      </c>
      <c r="C29" s="144">
        <f>0.1*20000</f>
        <v>2000</v>
      </c>
      <c r="D29" s="144">
        <f>0.1*20000</f>
        <v>2000</v>
      </c>
      <c r="E29" s="144">
        <f>0.1*20000</f>
        <v>2000</v>
      </c>
      <c r="F29" s="144">
        <f>0.1*20000</f>
        <v>2000</v>
      </c>
    </row>
    <row r="30" spans="1:6">
      <c r="A30" t="s">
        <v>324</v>
      </c>
      <c r="B30" s="144">
        <f>B28-B29</f>
        <v>4000</v>
      </c>
      <c r="C30" s="144">
        <f>C28-C29</f>
        <v>8000</v>
      </c>
      <c r="D30" s="144">
        <f>D28-D29</f>
        <v>12000</v>
      </c>
      <c r="E30" s="144">
        <f>E28-E29</f>
        <v>15500</v>
      </c>
      <c r="F30" s="144">
        <f>F28-F29</f>
        <v>20500</v>
      </c>
    </row>
    <row r="31" spans="1:6">
      <c r="A31" t="s">
        <v>325</v>
      </c>
      <c r="B31" s="144">
        <f>B30*0.4</f>
        <v>1600</v>
      </c>
      <c r="C31" s="144">
        <f>C30*0.4</f>
        <v>3200</v>
      </c>
      <c r="D31" s="144">
        <f>D30*0.4</f>
        <v>4800</v>
      </c>
      <c r="E31" s="144">
        <f>E30*0.4</f>
        <v>6200</v>
      </c>
      <c r="F31" s="144">
        <f>F30*0.4</f>
        <v>8200</v>
      </c>
    </row>
    <row r="32" spans="1:6">
      <c r="A32" t="s">
        <v>335</v>
      </c>
      <c r="B32" s="144">
        <f>B30-B31</f>
        <v>2400</v>
      </c>
      <c r="C32" s="144">
        <f>C30-C31</f>
        <v>4800</v>
      </c>
      <c r="D32" s="144">
        <f>D30-D31</f>
        <v>7200</v>
      </c>
      <c r="E32" s="144">
        <f>E30-E31</f>
        <v>9300</v>
      </c>
      <c r="F32" s="144">
        <f>F30-F31</f>
        <v>12300</v>
      </c>
    </row>
    <row r="33" spans="1:6">
      <c r="A33" t="s">
        <v>329</v>
      </c>
      <c r="B33" s="163">
        <f>B32/1600</f>
        <v>1.5</v>
      </c>
      <c r="C33" s="163">
        <f>C32/1600</f>
        <v>3</v>
      </c>
      <c r="D33" s="163">
        <f>D32/1600</f>
        <v>4.5</v>
      </c>
      <c r="E33" s="163">
        <f>E32/1600</f>
        <v>5.8125</v>
      </c>
      <c r="F33" s="163">
        <f>F32/1600</f>
        <v>7.6875</v>
      </c>
    </row>
    <row r="34" spans="1:6">
      <c r="A34" s="145" t="s">
        <v>312</v>
      </c>
      <c r="B34" s="146">
        <f>B28/C28-1</f>
        <v>-0.4</v>
      </c>
      <c r="C34" s="146">
        <f>C28/B28-1</f>
        <v>0.66666666666666674</v>
      </c>
      <c r="D34" s="146">
        <f>D28/C28-1</f>
        <v>0.39999999999999991</v>
      </c>
      <c r="E34" s="146">
        <f>E28/D28-1</f>
        <v>0.25</v>
      </c>
      <c r="F34" s="146">
        <f>F28/E28-1</f>
        <v>0.28571428571428581</v>
      </c>
    </row>
    <row r="35" spans="1:6">
      <c r="A35" s="145" t="s">
        <v>330</v>
      </c>
      <c r="B35" s="146">
        <f>B33/C33-1</f>
        <v>-0.5</v>
      </c>
      <c r="C35" s="147" t="s">
        <v>175</v>
      </c>
      <c r="D35" s="146">
        <f>D33/C33-1</f>
        <v>0.5</v>
      </c>
      <c r="E35" s="146">
        <f>E33/D33-1</f>
        <v>0.29166666666666674</v>
      </c>
      <c r="F35" s="146">
        <f>F33/E33-1</f>
        <v>0.32258064516129026</v>
      </c>
    </row>
    <row r="36" spans="1:6">
      <c r="A36" s="145"/>
      <c r="B36" s="146"/>
      <c r="C36" s="147"/>
      <c r="D36" s="146"/>
      <c r="E36" s="146"/>
      <c r="F36" s="146"/>
    </row>
    <row r="37" spans="1:6">
      <c r="A37" s="149" t="s">
        <v>331</v>
      </c>
      <c r="B37" s="152"/>
      <c r="C37" s="151"/>
      <c r="D37" s="152"/>
      <c r="E37" s="152"/>
      <c r="F37" s="152"/>
    </row>
    <row r="38" spans="1:6">
      <c r="A38" s="145" t="s">
        <v>332</v>
      </c>
      <c r="B38" s="153"/>
      <c r="C38" s="154">
        <f>D35/D34</f>
        <v>1.2500000000000002</v>
      </c>
      <c r="D38" s="154">
        <f>E35/E34</f>
        <v>1.166666666666667</v>
      </c>
      <c r="E38" s="154">
        <f>F35/F34</f>
        <v>1.1290322580645156</v>
      </c>
      <c r="F38" s="154"/>
    </row>
    <row r="39" spans="1:6">
      <c r="A39" s="145" t="s">
        <v>333</v>
      </c>
      <c r="B39" s="153"/>
      <c r="C39" s="154">
        <f>(C24*(10-5)-C27)/(C24*(10-5)-C27-C29)</f>
        <v>1.25</v>
      </c>
      <c r="D39" s="154">
        <f>(D24*(10-5)-D27)/(D24*(10-5)-D27-D29)</f>
        <v>1.1666666666666667</v>
      </c>
      <c r="E39" s="154">
        <f>(E24*(10-5)-E27)/(E24*(10-5)-E27-E29)</f>
        <v>1.1290322580645162</v>
      </c>
      <c r="F39" s="154">
        <f>(F24*(10-5)-F27)/(F24*(10-5)-F27-F29)</f>
        <v>1.0975609756097562</v>
      </c>
    </row>
    <row r="40" spans="1:6">
      <c r="A40" s="145"/>
      <c r="B40" s="162"/>
      <c r="C40" s="145"/>
      <c r="D40" s="154"/>
    </row>
    <row r="41" spans="1:6">
      <c r="A41" s="145"/>
      <c r="B41" s="153"/>
      <c r="C41" s="145"/>
      <c r="D41" s="154"/>
    </row>
  </sheetData>
  <pageMargins left="0.75" right="0.75" top="1" bottom="1" header="0.49212598499999999" footer="0.49212598499999999"/>
  <pageSetup orientation="landscape" horizontalDpi="1200" verticalDpi="12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7"/>
  <sheetViews>
    <sheetView showGridLines="0" workbookViewId="0">
      <selection activeCell="H18" sqref="H18"/>
    </sheetView>
  </sheetViews>
  <sheetFormatPr baseColWidth="10" defaultColWidth="8.83203125" defaultRowHeight="13"/>
  <cols>
    <col min="1" max="1" width="47.1640625" bestFit="1" customWidth="1"/>
    <col min="2" max="4" width="9.83203125" customWidth="1"/>
  </cols>
  <sheetData>
    <row r="1" spans="1:6">
      <c r="A1" s="145" t="s">
        <v>492</v>
      </c>
    </row>
    <row r="3" spans="1:6">
      <c r="A3" s="141" t="s">
        <v>336</v>
      </c>
      <c r="B3" s="142"/>
      <c r="C3" s="141"/>
      <c r="D3" s="141"/>
      <c r="E3" s="164"/>
      <c r="F3" s="164"/>
    </row>
    <row r="4" spans="1:6">
      <c r="A4" s="42" t="s">
        <v>307</v>
      </c>
      <c r="B4" s="143">
        <v>1700</v>
      </c>
      <c r="C4" s="42">
        <v>2500</v>
      </c>
      <c r="D4" s="42">
        <v>3300</v>
      </c>
      <c r="E4" s="42">
        <v>4000</v>
      </c>
      <c r="F4" s="42">
        <v>5000</v>
      </c>
    </row>
    <row r="5" spans="1:6">
      <c r="A5" t="s">
        <v>199</v>
      </c>
      <c r="B5" s="144">
        <f>B4*10</f>
        <v>17000</v>
      </c>
      <c r="C5" s="144">
        <f>C4*10</f>
        <v>25000</v>
      </c>
      <c r="D5" s="144">
        <f>D4*10</f>
        <v>33000</v>
      </c>
      <c r="E5" s="144">
        <f>E4*10</f>
        <v>40000</v>
      </c>
      <c r="F5" s="144">
        <f>F4*10</f>
        <v>50000</v>
      </c>
    </row>
    <row r="6" spans="1:6">
      <c r="A6" t="s">
        <v>308</v>
      </c>
      <c r="B6" s="144">
        <f>B4*5</f>
        <v>8500</v>
      </c>
      <c r="C6" s="144">
        <f>C4*5</f>
        <v>12500</v>
      </c>
      <c r="D6" s="144">
        <f>D4*5</f>
        <v>16500</v>
      </c>
      <c r="E6" s="144">
        <f>E4*5</f>
        <v>20000</v>
      </c>
      <c r="F6" s="144">
        <f>F4*5</f>
        <v>25000</v>
      </c>
    </row>
    <row r="7" spans="1:6">
      <c r="A7" t="s">
        <v>309</v>
      </c>
      <c r="B7" s="144">
        <v>2500</v>
      </c>
      <c r="C7" s="144">
        <v>2500</v>
      </c>
      <c r="D7" s="144">
        <v>2500</v>
      </c>
      <c r="E7" s="144">
        <v>2500</v>
      </c>
      <c r="F7" s="144">
        <v>2500</v>
      </c>
    </row>
    <row r="8" spans="1:6">
      <c r="A8" t="s">
        <v>310</v>
      </c>
      <c r="B8" s="144">
        <f>B5-B6-B7</f>
        <v>6000</v>
      </c>
      <c r="C8" s="144">
        <f>C5-C6-C7</f>
        <v>10000</v>
      </c>
      <c r="D8" s="144">
        <f>D5-D6-D7</f>
        <v>14000</v>
      </c>
      <c r="E8" s="144">
        <f>E5-E6-E7</f>
        <v>17500</v>
      </c>
      <c r="F8" s="144">
        <f>F5-F6-F7</f>
        <v>22500</v>
      </c>
    </row>
    <row r="9" spans="1:6">
      <c r="A9" t="s">
        <v>323</v>
      </c>
      <c r="B9" s="144">
        <f>0.1*20000</f>
        <v>2000</v>
      </c>
      <c r="C9" s="144">
        <f>0.1*20000</f>
        <v>2000</v>
      </c>
      <c r="D9" s="144">
        <f>0.1*20000</f>
        <v>2000</v>
      </c>
      <c r="E9" s="144">
        <f>0.1*20000</f>
        <v>2000</v>
      </c>
      <c r="F9" s="144">
        <f>0.1*20000</f>
        <v>2000</v>
      </c>
    </row>
    <row r="10" spans="1:6">
      <c r="A10" t="s">
        <v>324</v>
      </c>
      <c r="B10" s="144">
        <f>B8-B9</f>
        <v>4000</v>
      </c>
      <c r="C10" s="144">
        <f>C8-C9</f>
        <v>8000</v>
      </c>
      <c r="D10" s="144">
        <f>D8-D9</f>
        <v>12000</v>
      </c>
      <c r="E10" s="144">
        <f>E8-E9</f>
        <v>15500</v>
      </c>
      <c r="F10" s="144">
        <f>F8-F9</f>
        <v>20500</v>
      </c>
    </row>
    <row r="11" spans="1:6">
      <c r="A11" t="s">
        <v>325</v>
      </c>
      <c r="B11" s="144">
        <f>B10*0.4</f>
        <v>1600</v>
      </c>
      <c r="C11" s="144">
        <f>C10*0.4</f>
        <v>3200</v>
      </c>
      <c r="D11" s="144">
        <f>D10*0.4</f>
        <v>4800</v>
      </c>
      <c r="E11" s="144">
        <f>E10*0.4</f>
        <v>6200</v>
      </c>
      <c r="F11" s="144">
        <f>F10*0.4</f>
        <v>8200</v>
      </c>
    </row>
    <row r="12" spans="1:6">
      <c r="A12" t="s">
        <v>326</v>
      </c>
      <c r="B12" s="144">
        <f>B10-B11</f>
        <v>2400</v>
      </c>
      <c r="C12" s="144">
        <f>C10-C11</f>
        <v>4800</v>
      </c>
      <c r="D12" s="144">
        <f>D10-D11</f>
        <v>7200</v>
      </c>
      <c r="E12" s="144">
        <f>E10-E11</f>
        <v>9300</v>
      </c>
      <c r="F12" s="144">
        <f>F10-F11</f>
        <v>12300</v>
      </c>
    </row>
    <row r="13" spans="1:6">
      <c r="A13" t="s">
        <v>327</v>
      </c>
      <c r="B13" s="144">
        <v>0</v>
      </c>
      <c r="C13" s="144">
        <v>0</v>
      </c>
      <c r="D13" s="144">
        <v>0</v>
      </c>
      <c r="E13" s="144">
        <v>0</v>
      </c>
      <c r="F13" s="144">
        <v>0</v>
      </c>
    </row>
    <row r="14" spans="1:6">
      <c r="A14" t="s">
        <v>328</v>
      </c>
      <c r="B14" s="144">
        <f>B12-B13</f>
        <v>2400</v>
      </c>
      <c r="C14" s="144">
        <f>C12-C13</f>
        <v>4800</v>
      </c>
      <c r="D14" s="144">
        <f>D12-D13</f>
        <v>7200</v>
      </c>
      <c r="E14" s="144">
        <f>E12-E13</f>
        <v>9300</v>
      </c>
      <c r="F14" s="144">
        <f>F12-F13</f>
        <v>12300</v>
      </c>
    </row>
    <row r="15" spans="1:6">
      <c r="A15" t="s">
        <v>329</v>
      </c>
      <c r="B15" s="163">
        <f>B14/1600</f>
        <v>1.5</v>
      </c>
      <c r="C15" s="163">
        <f>C14/1600</f>
        <v>3</v>
      </c>
      <c r="D15" s="163">
        <f>D14/1600</f>
        <v>4.5</v>
      </c>
      <c r="E15" s="163">
        <f>E14/1600</f>
        <v>5.8125</v>
      </c>
      <c r="F15" s="163">
        <f>F14/1600</f>
        <v>7.6875</v>
      </c>
    </row>
    <row r="16" spans="1:6">
      <c r="A16" s="145" t="s">
        <v>337</v>
      </c>
      <c r="B16" s="146">
        <f>B4/C4-1</f>
        <v>-0.31999999999999995</v>
      </c>
      <c r="C16" s="146">
        <f>C4/D4-1</f>
        <v>-0.24242424242424243</v>
      </c>
      <c r="D16" s="146">
        <f>D4/C4-1</f>
        <v>0.32000000000000006</v>
      </c>
      <c r="E16" s="146">
        <f>E4/D4-1</f>
        <v>0.21212121212121215</v>
      </c>
      <c r="F16" s="146">
        <f>F4/E4-1</f>
        <v>0.25</v>
      </c>
    </row>
    <row r="17" spans="1:6">
      <c r="A17" s="145" t="s">
        <v>330</v>
      </c>
      <c r="B17" s="146">
        <f>B15/C15-1</f>
        <v>-0.5</v>
      </c>
      <c r="C17" s="147" t="s">
        <v>175</v>
      </c>
      <c r="D17" s="146">
        <f>D15/C15-1</f>
        <v>0.5</v>
      </c>
      <c r="E17" s="146">
        <f>E15/D15-1</f>
        <v>0.29166666666666674</v>
      </c>
      <c r="F17" s="146">
        <f>F15/E15-1</f>
        <v>0.32258064516129026</v>
      </c>
    </row>
    <row r="18" spans="1:6">
      <c r="A18" s="145"/>
      <c r="B18" s="146"/>
      <c r="C18" s="147"/>
      <c r="D18" s="146"/>
      <c r="E18" s="146"/>
      <c r="F18" s="146"/>
    </row>
    <row r="19" spans="1:6">
      <c r="A19" s="149" t="s">
        <v>338</v>
      </c>
      <c r="B19" s="152"/>
      <c r="C19" s="151"/>
      <c r="D19" s="152"/>
      <c r="E19" s="152"/>
      <c r="F19" s="152"/>
    </row>
    <row r="20" spans="1:6">
      <c r="A20" s="145" t="s">
        <v>339</v>
      </c>
      <c r="B20" s="153"/>
      <c r="C20" s="154">
        <f>D17/D16</f>
        <v>1.5624999999999998</v>
      </c>
      <c r="D20" s="154">
        <f>E17/E16</f>
        <v>1.3750000000000002</v>
      </c>
      <c r="E20" s="154">
        <f>F17/F16</f>
        <v>1.290322580645161</v>
      </c>
      <c r="F20" s="154"/>
    </row>
    <row r="21" spans="1:6">
      <c r="A21" s="145" t="s">
        <v>340</v>
      </c>
      <c r="B21" s="153"/>
      <c r="C21" s="154">
        <f>(C4*(10-5))/(C4*(10-5)-C7-C9-C13*(1/(1-0.4)))</f>
        <v>1.5625</v>
      </c>
      <c r="D21" s="154">
        <f>(D4*(10-5))/(D4*(10-5)-D7-D9-D13*(1/(1-0.4)))</f>
        <v>1.375</v>
      </c>
      <c r="E21" s="154">
        <f>(E4*(10-5))/(E4*(10-5)-E7-E9-E13*(1/(1-0.4)))</f>
        <v>1.2903225806451613</v>
      </c>
      <c r="F21" s="154">
        <f>(F4*(10-5))/(F4*(10-5)-F7-F9-F13*(1/(1-0.4)))</f>
        <v>1.2195121951219512</v>
      </c>
    </row>
    <row r="22" spans="1:6">
      <c r="A22" s="47" t="s">
        <v>341</v>
      </c>
      <c r="B22" s="165"/>
      <c r="C22" s="166">
        <f>(C4*(10-5))/(C4*(10-5)-C7)</f>
        <v>1.25</v>
      </c>
      <c r="D22" s="166">
        <f>(D4*(10-5))/(D4*(10-5)-D7)</f>
        <v>1.1785714285714286</v>
      </c>
      <c r="E22" s="166">
        <f>(E4*(10-5))/(E4*(10-5)-E7)</f>
        <v>1.1428571428571428</v>
      </c>
      <c r="F22" s="166">
        <f>(F4*(10-5))/(F4*(10-5)-F7)</f>
        <v>1.1111111111111112</v>
      </c>
    </row>
    <row r="23" spans="1:6">
      <c r="A23" s="47" t="s">
        <v>342</v>
      </c>
      <c r="B23" s="165"/>
      <c r="C23" s="166">
        <f>(C4*(10-5)-C7)/(C4*(10-5)-C7-C9-C13*(1/(1-0.4)))</f>
        <v>1.25</v>
      </c>
      <c r="D23" s="166">
        <f>(D4*(10-5)-D7)/(D4*(10-5)-D7-D9-D13*(1/(1-0.4)))</f>
        <v>1.1666666666666667</v>
      </c>
      <c r="E23" s="166">
        <f>(E4*(10-5)-E7)/(E4*(10-5)-E7-E9-E13*(1/(1-0.4)))</f>
        <v>1.1290322580645162</v>
      </c>
      <c r="F23" s="166">
        <f>(F4*(10-5)-F7)/(F4*(10-5)-F7-F9-F13*(1/(1-0.4)))</f>
        <v>1.0975609756097562</v>
      </c>
    </row>
    <row r="24" spans="1:6">
      <c r="A24" s="145" t="s">
        <v>343</v>
      </c>
      <c r="B24" s="153"/>
      <c r="C24" s="154">
        <f>C22*C23</f>
        <v>1.5625</v>
      </c>
      <c r="D24" s="154">
        <f>D22*D23</f>
        <v>1.3750000000000002</v>
      </c>
      <c r="E24" s="154">
        <f>E22*E23</f>
        <v>1.2903225806451613</v>
      </c>
      <c r="F24" s="154">
        <f>F22*F23</f>
        <v>1.2195121951219514</v>
      </c>
    </row>
    <row r="25" spans="1:6">
      <c r="A25" s="145"/>
      <c r="B25" s="153"/>
      <c r="C25" s="154"/>
      <c r="D25" s="154"/>
      <c r="E25" s="154"/>
      <c r="F25" s="154"/>
    </row>
    <row r="26" spans="1:6">
      <c r="A26" s="141" t="s">
        <v>344</v>
      </c>
      <c r="B26" s="142"/>
      <c r="C26" s="141"/>
      <c r="D26" s="141"/>
      <c r="E26" s="141"/>
      <c r="F26" s="141"/>
    </row>
    <row r="27" spans="1:6">
      <c r="A27" s="42" t="s">
        <v>307</v>
      </c>
      <c r="B27" s="143">
        <v>1700</v>
      </c>
      <c r="C27" s="42">
        <v>2500</v>
      </c>
      <c r="D27" s="42">
        <v>3300</v>
      </c>
      <c r="E27" s="42">
        <v>4000</v>
      </c>
      <c r="F27" s="42">
        <v>5000</v>
      </c>
    </row>
    <row r="28" spans="1:6">
      <c r="A28" t="s">
        <v>199</v>
      </c>
      <c r="B28" s="144">
        <f>B27*10</f>
        <v>17000</v>
      </c>
      <c r="C28" s="144">
        <f>C27*10</f>
        <v>25000</v>
      </c>
      <c r="D28" s="144">
        <f>D27*10</f>
        <v>33000</v>
      </c>
      <c r="E28" s="144">
        <f>E27*10</f>
        <v>40000</v>
      </c>
      <c r="F28" s="144">
        <f>F27*10</f>
        <v>50000</v>
      </c>
    </row>
    <row r="29" spans="1:6">
      <c r="A29" t="s">
        <v>308</v>
      </c>
      <c r="B29" s="144">
        <f>B27*4.5</f>
        <v>7650</v>
      </c>
      <c r="C29" s="144">
        <f>C27*4.5</f>
        <v>11250</v>
      </c>
      <c r="D29" s="144">
        <f>D27*4.5</f>
        <v>14850</v>
      </c>
      <c r="E29" s="144">
        <f>E27*4.5</f>
        <v>18000</v>
      </c>
      <c r="F29" s="144">
        <f>F27*4.5</f>
        <v>22500</v>
      </c>
    </row>
    <row r="30" spans="1:6">
      <c r="A30" t="s">
        <v>309</v>
      </c>
      <c r="B30" s="144">
        <v>3000</v>
      </c>
      <c r="C30" s="144">
        <v>3000</v>
      </c>
      <c r="D30" s="144">
        <v>3000</v>
      </c>
      <c r="E30" s="144">
        <v>3000</v>
      </c>
      <c r="F30" s="144">
        <v>3000</v>
      </c>
    </row>
    <row r="31" spans="1:6">
      <c r="A31" t="s">
        <v>310</v>
      </c>
      <c r="B31" s="144">
        <f>B28-B29-B30</f>
        <v>6350</v>
      </c>
      <c r="C31" s="144">
        <f>C28-C29-C30</f>
        <v>10750</v>
      </c>
      <c r="D31" s="144">
        <f>D28-D29-D30</f>
        <v>15150</v>
      </c>
      <c r="E31" s="144">
        <f>E28-E29-E30</f>
        <v>19000</v>
      </c>
      <c r="F31" s="144">
        <f>F28-F29-F30</f>
        <v>24500</v>
      </c>
    </row>
    <row r="32" spans="1:6">
      <c r="A32" t="s">
        <v>323</v>
      </c>
      <c r="B32" s="144">
        <f>0.1*20000</f>
        <v>2000</v>
      </c>
      <c r="C32" s="144">
        <f>0.1*20000</f>
        <v>2000</v>
      </c>
      <c r="D32" s="144">
        <f>0.1*20000</f>
        <v>2000</v>
      </c>
      <c r="E32" s="144">
        <f>0.1*20000</f>
        <v>2000</v>
      </c>
      <c r="F32" s="144">
        <f>0.1*20000</f>
        <v>2000</v>
      </c>
    </row>
    <row r="33" spans="1:6">
      <c r="A33" t="s">
        <v>324</v>
      </c>
      <c r="B33" s="144">
        <f>B31-B32</f>
        <v>4350</v>
      </c>
      <c r="C33" s="144">
        <f>C31-C32</f>
        <v>8750</v>
      </c>
      <c r="D33" s="144">
        <f>D31-D32</f>
        <v>13150</v>
      </c>
      <c r="E33" s="144">
        <f>E31-E32</f>
        <v>17000</v>
      </c>
      <c r="F33" s="144">
        <f>F31-F32</f>
        <v>22500</v>
      </c>
    </row>
    <row r="34" spans="1:6">
      <c r="A34" t="s">
        <v>325</v>
      </c>
      <c r="B34" s="144">
        <f>B33*0.4</f>
        <v>1740</v>
      </c>
      <c r="C34" s="144">
        <f>C33*0.4</f>
        <v>3500</v>
      </c>
      <c r="D34" s="144">
        <f>D33*0.4</f>
        <v>5260</v>
      </c>
      <c r="E34" s="144">
        <f>E33*0.4</f>
        <v>6800</v>
      </c>
      <c r="F34" s="144">
        <f>F33*0.4</f>
        <v>9000</v>
      </c>
    </row>
    <row r="35" spans="1:6">
      <c r="A35" t="s">
        <v>326</v>
      </c>
      <c r="B35" s="144">
        <f>B33-B34</f>
        <v>2610</v>
      </c>
      <c r="C35" s="144">
        <f>C33-C34</f>
        <v>5250</v>
      </c>
      <c r="D35" s="144">
        <f>D33-D34</f>
        <v>7890</v>
      </c>
      <c r="E35" s="144">
        <f>E33-E34</f>
        <v>10200</v>
      </c>
      <c r="F35" s="144">
        <f>F33-F34</f>
        <v>13500</v>
      </c>
    </row>
    <row r="36" spans="1:6">
      <c r="A36" t="s">
        <v>327</v>
      </c>
      <c r="B36" s="144">
        <v>2400</v>
      </c>
      <c r="C36" s="144">
        <v>2400</v>
      </c>
      <c r="D36" s="144">
        <v>2400</v>
      </c>
      <c r="E36" s="144">
        <v>2400</v>
      </c>
      <c r="F36" s="144">
        <v>2400</v>
      </c>
    </row>
    <row r="37" spans="1:6">
      <c r="A37" t="s">
        <v>328</v>
      </c>
      <c r="B37" s="144">
        <f>B35-B36</f>
        <v>210</v>
      </c>
      <c r="C37" s="144">
        <f>C35-C36</f>
        <v>2850</v>
      </c>
      <c r="D37" s="144">
        <f>D35-D36</f>
        <v>5490</v>
      </c>
      <c r="E37" s="144">
        <f>E35-E36</f>
        <v>7800</v>
      </c>
      <c r="F37" s="144">
        <f>F35-F36</f>
        <v>11100</v>
      </c>
    </row>
    <row r="38" spans="1:6">
      <c r="A38" t="s">
        <v>329</v>
      </c>
      <c r="B38" s="163">
        <f>B37/1000</f>
        <v>0.21</v>
      </c>
      <c r="C38" s="163">
        <f>C37/1000</f>
        <v>2.85</v>
      </c>
      <c r="D38" s="163">
        <f>D37/1000</f>
        <v>5.49</v>
      </c>
      <c r="E38" s="163">
        <f>E37/1000</f>
        <v>7.8</v>
      </c>
      <c r="F38" s="163">
        <f>F37/1000</f>
        <v>11.1</v>
      </c>
    </row>
    <row r="39" spans="1:6">
      <c r="A39" s="145" t="s">
        <v>337</v>
      </c>
      <c r="B39" s="146">
        <f>B27/C27-1</f>
        <v>-0.31999999999999995</v>
      </c>
      <c r="C39" s="146">
        <f>C27/D27-1</f>
        <v>-0.24242424242424243</v>
      </c>
      <c r="D39" s="146">
        <f>D27/C27-1</f>
        <v>0.32000000000000006</v>
      </c>
      <c r="E39" s="146">
        <f>E27/D27-1</f>
        <v>0.21212121212121215</v>
      </c>
      <c r="F39" s="146">
        <f>F27/E27-1</f>
        <v>0.25</v>
      </c>
    </row>
    <row r="40" spans="1:6">
      <c r="A40" s="145" t="s">
        <v>330</v>
      </c>
      <c r="B40" s="146">
        <f>B38/C38-1</f>
        <v>-0.9263157894736842</v>
      </c>
      <c r="C40" s="147" t="s">
        <v>175</v>
      </c>
      <c r="D40" s="146">
        <f>D38/C38-1</f>
        <v>0.9263157894736842</v>
      </c>
      <c r="E40" s="146">
        <f>E38/D38-1</f>
        <v>0.42076502732240439</v>
      </c>
      <c r="F40" s="146">
        <f>F38/E38-1</f>
        <v>0.42307692307692313</v>
      </c>
    </row>
    <row r="41" spans="1:6">
      <c r="A41" s="145"/>
      <c r="B41" s="146"/>
      <c r="C41" s="147"/>
      <c r="D41" s="146"/>
      <c r="E41" s="146"/>
      <c r="F41" s="146"/>
    </row>
    <row r="42" spans="1:6">
      <c r="A42" s="149" t="s">
        <v>338</v>
      </c>
      <c r="B42" s="152"/>
      <c r="C42" s="151"/>
      <c r="D42" s="152"/>
      <c r="E42" s="152"/>
      <c r="F42" s="152"/>
    </row>
    <row r="43" spans="1:6">
      <c r="A43" s="145" t="s">
        <v>339</v>
      </c>
      <c r="B43" s="153"/>
      <c r="C43" s="154">
        <f>D40/D39</f>
        <v>2.8947368421052624</v>
      </c>
      <c r="D43" s="154">
        <f>E40/E39</f>
        <v>1.9836065573770489</v>
      </c>
      <c r="E43" s="154">
        <f>F40/F39</f>
        <v>1.6923076923076925</v>
      </c>
      <c r="F43" s="154"/>
    </row>
    <row r="44" spans="1:6">
      <c r="A44" s="145" t="s">
        <v>340</v>
      </c>
      <c r="B44" s="153"/>
      <c r="C44" s="154">
        <f>(C27*(10-4.5))/(C27*(10-4.5)-C30-C32-C36*(1/(1-0.4)))</f>
        <v>2.8947368421052633</v>
      </c>
      <c r="D44" s="154">
        <f>(D27*(10-4.5))/(D27*(10-4.5)-D30-D32-D36*(1/(1-0.4)))</f>
        <v>1.9836065573770492</v>
      </c>
      <c r="E44" s="154">
        <f>(E27*(10-4.5))/(E27*(10-4.5)-E30-E32-E36*(1/(1-0.4)))</f>
        <v>1.6923076923076923</v>
      </c>
      <c r="F44" s="154">
        <f>(F27*(10-4.5))/(F27*(10-4.5)-F30-F32-F36*(1/(1-0.4)))</f>
        <v>1.4864864864864864</v>
      </c>
    </row>
    <row r="45" spans="1:6">
      <c r="A45" s="47" t="s">
        <v>341</v>
      </c>
      <c r="B45" s="165"/>
      <c r="C45" s="166">
        <f>(C27*(10-4.5))/(C27*(10-4.5)-C30)</f>
        <v>1.2790697674418605</v>
      </c>
      <c r="D45" s="166">
        <f>(D27*(10-4.5))/(D27*(10-4.5)-D30)</f>
        <v>1.198019801980198</v>
      </c>
      <c r="E45" s="166">
        <f>(E27*(10-4.5))/(E27*(10-4.5)-E30)</f>
        <v>1.1578947368421053</v>
      </c>
      <c r="F45" s="166">
        <f>(F27*(10-4.5))/(F27*(10-4.5)-F30)</f>
        <v>1.1224489795918366</v>
      </c>
    </row>
    <row r="46" spans="1:6">
      <c r="A46" s="47" t="s">
        <v>342</v>
      </c>
      <c r="B46" s="165"/>
      <c r="C46" s="166">
        <f>(C27*(10-4.5)-C30)/(C27*(10-4.5)-C30-C32-C36*(1/(1-0.4)))</f>
        <v>2.263157894736842</v>
      </c>
      <c r="D46" s="166">
        <f>(D27*(10-4.5)-D30)/(D27*(10-4.5)-D30-D32-D36*(1/(1-0.4)))</f>
        <v>1.6557377049180328</v>
      </c>
      <c r="E46" s="166">
        <f>(E27*(10-4.5)-E30)/(E27*(10-4.5)-E30-E32-E36*(1/(1-0.4)))</f>
        <v>1.4615384615384615</v>
      </c>
      <c r="F46" s="166">
        <f>(F27*(10-4.5)-F30)/(F27*(10-4.5)-F30-F32-F36*(1/(1-0.4)))</f>
        <v>1.3243243243243243</v>
      </c>
    </row>
    <row r="47" spans="1:6">
      <c r="A47" s="145" t="s">
        <v>343</v>
      </c>
      <c r="B47" s="153"/>
      <c r="C47" s="154">
        <f>C45*C46</f>
        <v>2.8947368421052633</v>
      </c>
      <c r="D47" s="154">
        <f>D45*D46</f>
        <v>1.9836065573770492</v>
      </c>
      <c r="E47" s="154">
        <f>E45*E46</f>
        <v>1.6923076923076923</v>
      </c>
      <c r="F47" s="154">
        <f>F45*F46</f>
        <v>1.4864864864864864</v>
      </c>
    </row>
  </sheetData>
  <pageMargins left="0.75" right="0.75" top="0.234251969" bottom="0.25" header="0.49212598499999999" footer="0.49212598499999999"/>
  <pageSetup orientation="landscape" horizontalDpi="1200" verticalDpi="12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1"/>
  <sheetViews>
    <sheetView showGridLines="0" workbookViewId="0">
      <selection activeCell="J17" sqref="J17"/>
    </sheetView>
  </sheetViews>
  <sheetFormatPr baseColWidth="10" defaultColWidth="9.1640625" defaultRowHeight="13"/>
  <cols>
    <col min="1" max="1" width="38.5" style="58" customWidth="1"/>
    <col min="2" max="2" width="10.1640625" style="58" bestFit="1" customWidth="1"/>
    <col min="3" max="16384" width="9.1640625" style="50"/>
  </cols>
  <sheetData>
    <row r="1" spans="1:7">
      <c r="A1" s="60" t="s">
        <v>494</v>
      </c>
    </row>
    <row r="3" spans="1:7">
      <c r="A3" s="58" t="s">
        <v>345</v>
      </c>
      <c r="B3" s="58">
        <v>120000</v>
      </c>
      <c r="D3" s="50" t="s">
        <v>346</v>
      </c>
      <c r="E3" s="50" t="s">
        <v>347</v>
      </c>
      <c r="F3" s="50" t="s">
        <v>348</v>
      </c>
      <c r="G3" s="50" t="s">
        <v>349</v>
      </c>
    </row>
    <row r="4" spans="1:7">
      <c r="A4" s="62" t="s">
        <v>350</v>
      </c>
      <c r="B4" s="62">
        <f>B3*0.65</f>
        <v>78000</v>
      </c>
      <c r="D4" s="70" t="s">
        <v>82</v>
      </c>
      <c r="E4" s="167">
        <v>30</v>
      </c>
      <c r="F4" s="168">
        <v>0.7</v>
      </c>
      <c r="G4" s="169">
        <v>0</v>
      </c>
    </row>
    <row r="5" spans="1:7">
      <c r="A5" s="58" t="s">
        <v>351</v>
      </c>
      <c r="B5" s="58">
        <f>B3*0.5</f>
        <v>60000</v>
      </c>
      <c r="D5" s="74"/>
      <c r="E5" s="61">
        <v>5</v>
      </c>
      <c r="F5" s="170">
        <v>0.3</v>
      </c>
      <c r="G5" s="171">
        <v>0.02</v>
      </c>
    </row>
    <row r="6" spans="1:7">
      <c r="A6" s="58" t="s">
        <v>352</v>
      </c>
      <c r="B6" s="58">
        <f>B3*0.15</f>
        <v>18000</v>
      </c>
      <c r="D6" s="54" t="s">
        <v>81</v>
      </c>
      <c r="E6" s="77">
        <v>10</v>
      </c>
      <c r="F6" s="172">
        <v>1</v>
      </c>
      <c r="G6" s="173">
        <v>0</v>
      </c>
    </row>
    <row r="7" spans="1:7">
      <c r="D7" s="70" t="s">
        <v>83</v>
      </c>
      <c r="E7" s="167">
        <v>30</v>
      </c>
      <c r="F7" s="174">
        <v>0.7</v>
      </c>
      <c r="G7" s="175">
        <v>0</v>
      </c>
    </row>
    <row r="8" spans="1:7">
      <c r="D8" s="74"/>
      <c r="E8" s="61">
        <v>3</v>
      </c>
      <c r="F8" s="176">
        <v>0.3</v>
      </c>
      <c r="G8" s="177">
        <v>0.05</v>
      </c>
    </row>
    <row r="10" spans="1:7">
      <c r="A10" s="60" t="s">
        <v>353</v>
      </c>
    </row>
    <row r="11" spans="1:7">
      <c r="A11" s="60"/>
      <c r="B11" s="60">
        <f>((B3/252)*F4*E4)+((B3/252)*F5*E5*(1-G5))</f>
        <v>10700</v>
      </c>
    </row>
    <row r="12" spans="1:7">
      <c r="A12" s="60" t="s">
        <v>354</v>
      </c>
      <c r="B12" s="60">
        <f>B13+B14</f>
        <v>3059.5238095238096</v>
      </c>
    </row>
    <row r="13" spans="1:7">
      <c r="B13" s="58">
        <f>(((B5/252)*F7)+((B5/252)*F8*(1-G8)))*E6</f>
        <v>2345.2380952380954</v>
      </c>
    </row>
    <row r="14" spans="1:7">
      <c r="B14" s="58">
        <f>(B6/252)*E6</f>
        <v>714.28571428571433</v>
      </c>
    </row>
    <row r="15" spans="1:7">
      <c r="A15" s="178" t="s">
        <v>355</v>
      </c>
      <c r="B15" s="178">
        <f>((B5/252)*F7*E7)+((B5/252)*F8*E8*(1-G8))</f>
        <v>5203.5714285714284</v>
      </c>
    </row>
    <row r="16" spans="1:7">
      <c r="A16" s="60" t="s">
        <v>356</v>
      </c>
      <c r="B16" s="60">
        <f>B11+B12-B15</f>
        <v>8555.9523809523816</v>
      </c>
    </row>
    <row r="17" spans="1:7">
      <c r="A17" s="58" t="s">
        <v>357</v>
      </c>
      <c r="B17" s="58">
        <v>500</v>
      </c>
    </row>
    <row r="18" spans="1:7">
      <c r="A18" s="58" t="s">
        <v>358</v>
      </c>
      <c r="B18" s="58">
        <v>5000</v>
      </c>
    </row>
    <row r="19" spans="1:7">
      <c r="A19" s="60" t="s">
        <v>359</v>
      </c>
      <c r="B19" s="60">
        <f>B16+B17-B18</f>
        <v>4055.9523809523816</v>
      </c>
    </row>
    <row r="20" spans="1:7">
      <c r="A20" s="60"/>
      <c r="B20" s="60"/>
    </row>
    <row r="21" spans="1:7">
      <c r="A21" s="179" t="s">
        <v>360</v>
      </c>
    </row>
    <row r="23" spans="1:7">
      <c r="A23" s="58" t="s">
        <v>345</v>
      </c>
      <c r="B23" s="58">
        <f>120000*1.1</f>
        <v>132000</v>
      </c>
      <c r="D23" s="50" t="s">
        <v>346</v>
      </c>
      <c r="E23" s="50" t="s">
        <v>347</v>
      </c>
      <c r="F23" s="50" t="s">
        <v>348</v>
      </c>
      <c r="G23" s="50" t="s">
        <v>349</v>
      </c>
    </row>
    <row r="24" spans="1:7">
      <c r="A24" s="62" t="s">
        <v>350</v>
      </c>
      <c r="B24" s="62">
        <f>B23*0.65</f>
        <v>85800</v>
      </c>
      <c r="D24" s="70" t="s">
        <v>82</v>
      </c>
      <c r="E24" s="167">
        <v>30</v>
      </c>
      <c r="F24" s="168">
        <v>0.7</v>
      </c>
      <c r="G24" s="169">
        <v>0</v>
      </c>
    </row>
    <row r="25" spans="1:7">
      <c r="A25" s="58" t="s">
        <v>351</v>
      </c>
      <c r="B25" s="58">
        <f>B23*0.5</f>
        <v>66000</v>
      </c>
      <c r="D25" s="74"/>
      <c r="E25" s="61">
        <v>5</v>
      </c>
      <c r="F25" s="170">
        <v>0.3</v>
      </c>
      <c r="G25" s="171">
        <v>0.02</v>
      </c>
    </row>
    <row r="26" spans="1:7">
      <c r="A26" s="58" t="s">
        <v>352</v>
      </c>
      <c r="B26" s="58">
        <f>B23*0.15</f>
        <v>19800</v>
      </c>
      <c r="D26" s="54" t="s">
        <v>81</v>
      </c>
      <c r="E26" s="77">
        <v>10</v>
      </c>
      <c r="F26" s="172">
        <v>1</v>
      </c>
      <c r="G26" s="173">
        <v>0</v>
      </c>
    </row>
    <row r="27" spans="1:7">
      <c r="D27" s="70" t="s">
        <v>83</v>
      </c>
      <c r="E27" s="167">
        <v>30</v>
      </c>
      <c r="F27" s="174">
        <v>0.7</v>
      </c>
      <c r="G27" s="175">
        <v>0</v>
      </c>
    </row>
    <row r="28" spans="1:7">
      <c r="D28" s="74"/>
      <c r="E28" s="61">
        <v>3</v>
      </c>
      <c r="F28" s="176">
        <v>0.3</v>
      </c>
      <c r="G28" s="177">
        <v>0.05</v>
      </c>
    </row>
    <row r="30" spans="1:7">
      <c r="A30" s="60" t="s">
        <v>353</v>
      </c>
    </row>
    <row r="31" spans="1:7">
      <c r="A31" s="60"/>
      <c r="B31" s="60">
        <f>((B23/252)*F24*E24)+((B23/252)*F25*E25*(1-G25))</f>
        <v>11770</v>
      </c>
    </row>
    <row r="32" spans="1:7">
      <c r="A32" s="60" t="s">
        <v>354</v>
      </c>
      <c r="B32" s="60">
        <f>B33+B34</f>
        <v>3365.4761904761904</v>
      </c>
    </row>
    <row r="33" spans="1:2">
      <c r="B33" s="58">
        <f>(((B25/252)*F27)+((B25/252)*F28*(1-G28)))*E26</f>
        <v>2579.7619047619046</v>
      </c>
    </row>
    <row r="34" spans="1:2">
      <c r="B34" s="58">
        <f>(B26/252)*E26</f>
        <v>785.71428571428567</v>
      </c>
    </row>
    <row r="35" spans="1:2">
      <c r="A35" s="178" t="s">
        <v>355</v>
      </c>
      <c r="B35" s="178">
        <f>((B25/252)*F27*E27)+((B25/252)*F28*E28*(1-G28))</f>
        <v>5723.9285714285716</v>
      </c>
    </row>
    <row r="36" spans="1:2">
      <c r="A36" s="60" t="s">
        <v>356</v>
      </c>
      <c r="B36" s="60">
        <f>B31+B32-B35</f>
        <v>9411.5476190476184</v>
      </c>
    </row>
    <row r="37" spans="1:2">
      <c r="A37" s="103" t="s">
        <v>361</v>
      </c>
      <c r="B37" s="180">
        <f>B36/B16-1</f>
        <v>9.9999999999999867E-2</v>
      </c>
    </row>
    <row r="38" spans="1:2">
      <c r="A38" s="58" t="s">
        <v>357</v>
      </c>
      <c r="B38" s="58">
        <v>500</v>
      </c>
    </row>
    <row r="39" spans="1:2">
      <c r="A39" s="58" t="s">
        <v>362</v>
      </c>
      <c r="B39" s="58">
        <v>5000</v>
      </c>
    </row>
    <row r="40" spans="1:2">
      <c r="A40" s="60" t="s">
        <v>359</v>
      </c>
      <c r="B40" s="60">
        <f>B36+B38-B39</f>
        <v>4911.5476190476184</v>
      </c>
    </row>
    <row r="41" spans="1:2">
      <c r="B41" s="181"/>
    </row>
  </sheetData>
  <pageMargins left="0.78740157499999996" right="0.78740157499999996" top="0.984251969" bottom="0.984251969" header="0.49212598499999999" footer="0.49212598499999999"/>
  <pageSetup paperSize="9" orientation="portrait" verticalDpi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2"/>
  <sheetViews>
    <sheetView showGridLines="0" zoomScale="150" zoomScaleNormal="150" workbookViewId="0"/>
  </sheetViews>
  <sheetFormatPr baseColWidth="10" defaultColWidth="8.83203125" defaultRowHeight="13"/>
  <cols>
    <col min="1" max="1" width="9.83203125" customWidth="1"/>
    <col min="2" max="2" width="10.33203125" bestFit="1" customWidth="1"/>
    <col min="3" max="5" width="8.33203125" customWidth="1"/>
    <col min="6" max="6" width="9.6640625" bestFit="1" customWidth="1"/>
    <col min="7" max="9" width="8.33203125" customWidth="1"/>
    <col min="10" max="10" width="10.83203125" customWidth="1"/>
    <col min="11" max="11" width="8.33203125" customWidth="1"/>
  </cols>
  <sheetData>
    <row r="1" spans="1:11" ht="16">
      <c r="A1" s="40" t="s">
        <v>85</v>
      </c>
    </row>
    <row r="2" spans="1:11">
      <c r="A2" t="s">
        <v>86</v>
      </c>
    </row>
    <row r="3" spans="1:11">
      <c r="A3" t="s">
        <v>87</v>
      </c>
    </row>
    <row r="4" spans="1:11">
      <c r="A4" t="s">
        <v>88</v>
      </c>
    </row>
    <row r="5" spans="1:11">
      <c r="A5" t="s">
        <v>89</v>
      </c>
    </row>
    <row r="7" spans="1:11" ht="14">
      <c r="A7" s="41" t="s">
        <v>90</v>
      </c>
    </row>
    <row r="8" spans="1:11">
      <c r="A8" s="42" t="s">
        <v>91</v>
      </c>
    </row>
    <row r="9" spans="1:11">
      <c r="A9" s="43" t="s">
        <v>92</v>
      </c>
      <c r="B9" s="43" t="s">
        <v>93</v>
      </c>
      <c r="C9" s="43"/>
      <c r="D9" s="43"/>
      <c r="E9" s="43"/>
      <c r="F9" s="43"/>
      <c r="G9" s="43"/>
      <c r="H9" s="43"/>
    </row>
    <row r="10" spans="1:11">
      <c r="A10" s="44" t="s">
        <v>94</v>
      </c>
      <c r="B10" s="44" t="s">
        <v>95</v>
      </c>
      <c r="C10" s="44" t="s">
        <v>96</v>
      </c>
      <c r="D10" s="44" t="s">
        <v>97</v>
      </c>
      <c r="E10" s="44" t="s">
        <v>97</v>
      </c>
      <c r="F10" s="44" t="s">
        <v>98</v>
      </c>
      <c r="G10" s="44" t="s">
        <v>99</v>
      </c>
      <c r="H10" s="44" t="s">
        <v>100</v>
      </c>
      <c r="I10" s="44" t="s">
        <v>101</v>
      </c>
      <c r="J10" s="44" t="s">
        <v>102</v>
      </c>
      <c r="K10" s="44" t="s">
        <v>103</v>
      </c>
    </row>
    <row r="11" spans="1:11">
      <c r="A11" s="45" t="s">
        <v>104</v>
      </c>
      <c r="B11" s="45" t="s">
        <v>105</v>
      </c>
      <c r="C11" s="45" t="s">
        <v>106</v>
      </c>
      <c r="D11" s="45" t="s">
        <v>107</v>
      </c>
      <c r="E11" s="45" t="s">
        <v>108</v>
      </c>
      <c r="F11" s="45"/>
      <c r="G11" s="45"/>
      <c r="H11" s="45"/>
      <c r="I11" s="45" t="s">
        <v>109</v>
      </c>
      <c r="J11" s="45" t="s">
        <v>110</v>
      </c>
      <c r="K11" s="45" t="s">
        <v>111</v>
      </c>
    </row>
    <row r="12" spans="1:11">
      <c r="A12" s="46">
        <v>-1500</v>
      </c>
      <c r="B12" s="46">
        <v>0</v>
      </c>
      <c r="C12" s="46">
        <f>B12*2</f>
        <v>0</v>
      </c>
      <c r="D12" s="46">
        <f>-B12*1</f>
        <v>0</v>
      </c>
      <c r="E12" s="46">
        <v>-1791</v>
      </c>
      <c r="F12" s="46">
        <v>-300</v>
      </c>
      <c r="G12" s="46">
        <f>C12+D12+E12+F12</f>
        <v>-2091</v>
      </c>
      <c r="H12" s="46">
        <f>-G12*0.34</f>
        <v>710.94</v>
      </c>
      <c r="I12" s="46">
        <f>G12+H12</f>
        <v>-1380.06</v>
      </c>
      <c r="J12" s="46">
        <f>C12+D12+E12+H12</f>
        <v>-1080.06</v>
      </c>
      <c r="K12" s="46">
        <f>-PV(0.15,5,J12)+A12</f>
        <v>-5120.5286351581926</v>
      </c>
    </row>
    <row r="13" spans="1:11">
      <c r="A13" s="46">
        <v>-1500</v>
      </c>
      <c r="B13" s="46">
        <v>1000</v>
      </c>
      <c r="C13" s="46">
        <f>B13*2</f>
        <v>2000</v>
      </c>
      <c r="D13" s="46">
        <f>-B13*1</f>
        <v>-1000</v>
      </c>
      <c r="E13" s="46">
        <v>-1791</v>
      </c>
      <c r="F13" s="46">
        <v>-300</v>
      </c>
      <c r="G13" s="46">
        <f>C13+D13+E13+F13</f>
        <v>-1091</v>
      </c>
      <c r="H13" s="46">
        <f>-G13*0.34</f>
        <v>370.94000000000005</v>
      </c>
      <c r="I13" s="46">
        <f>G13+H13</f>
        <v>-720.06</v>
      </c>
      <c r="J13" s="46">
        <f>C13+D13+E13+H13</f>
        <v>-420.05999999999995</v>
      </c>
      <c r="K13" s="46">
        <f>-PV(0.15,5,J13)+A13</f>
        <v>-2908.1062704706692</v>
      </c>
    </row>
    <row r="14" spans="1:11">
      <c r="A14" s="46">
        <v>-1500</v>
      </c>
      <c r="B14" s="46">
        <v>3000</v>
      </c>
      <c r="C14" s="46">
        <f>B14*2</f>
        <v>6000</v>
      </c>
      <c r="D14" s="46">
        <f>-B14*1</f>
        <v>-3000</v>
      </c>
      <c r="E14" s="46">
        <v>-1791</v>
      </c>
      <c r="F14" s="46">
        <v>-300</v>
      </c>
      <c r="G14" s="46">
        <f>C14+D14+E14+F14</f>
        <v>909</v>
      </c>
      <c r="H14" s="46">
        <f>-G14*0.34</f>
        <v>-309.06</v>
      </c>
      <c r="I14" s="46">
        <f>G14+H14</f>
        <v>599.94000000000005</v>
      </c>
      <c r="J14" s="46">
        <f>C14+D14+E14+H14</f>
        <v>899.94</v>
      </c>
      <c r="K14" s="46">
        <f>-PV(0.15,5,J14)+A14</f>
        <v>1516.73845890438</v>
      </c>
    </row>
    <row r="15" spans="1:11">
      <c r="A15" s="46">
        <v>-1500</v>
      </c>
      <c r="B15" s="46">
        <v>10000</v>
      </c>
      <c r="C15" s="46">
        <f>B15*2</f>
        <v>20000</v>
      </c>
      <c r="D15" s="46">
        <f>-B15*1</f>
        <v>-10000</v>
      </c>
      <c r="E15" s="46">
        <v>-1791</v>
      </c>
      <c r="F15" s="46">
        <v>-300</v>
      </c>
      <c r="G15" s="46">
        <f>C15+D15+E15+F15</f>
        <v>7909</v>
      </c>
      <c r="H15" s="46">
        <f>-G15*0.34</f>
        <v>-2689.0600000000004</v>
      </c>
      <c r="I15" s="46">
        <f>G15+H15</f>
        <v>5219.9399999999996</v>
      </c>
      <c r="J15" s="46">
        <f>C15+D15+E15+H15</f>
        <v>5519.94</v>
      </c>
      <c r="K15" s="46">
        <f>-PV(0.15,5,J15)+A15</f>
        <v>17003.695011717049</v>
      </c>
    </row>
    <row r="16" spans="1:11">
      <c r="A16" s="43" t="s">
        <v>112</v>
      </c>
      <c r="B16" s="43"/>
      <c r="C16" s="43"/>
      <c r="D16" s="43"/>
      <c r="E16" s="43"/>
      <c r="F16" s="43"/>
      <c r="G16" s="43"/>
      <c r="H16" s="43"/>
    </row>
    <row r="17" spans="1:8">
      <c r="A17" s="43" t="s">
        <v>113</v>
      </c>
      <c r="B17" s="43"/>
      <c r="C17" s="43"/>
      <c r="D17" s="43"/>
      <c r="E17" s="43"/>
      <c r="F17" s="43"/>
      <c r="G17" s="43"/>
      <c r="H17" s="43"/>
    </row>
    <row r="18" spans="1:8">
      <c r="A18" s="43" t="s">
        <v>114</v>
      </c>
      <c r="B18" s="43"/>
      <c r="C18" s="43"/>
      <c r="D18" s="43"/>
      <c r="E18" s="43"/>
      <c r="F18" s="43"/>
      <c r="G18" s="43"/>
      <c r="H18" s="43"/>
    </row>
    <row r="19" spans="1:8">
      <c r="A19" s="43"/>
      <c r="B19" s="43"/>
      <c r="C19" s="43"/>
      <c r="D19" s="43"/>
      <c r="E19" s="43"/>
      <c r="F19" s="43"/>
      <c r="G19" s="43"/>
      <c r="H19" s="43"/>
    </row>
    <row r="20" spans="1:8" ht="16">
      <c r="A20" s="40" t="s">
        <v>115</v>
      </c>
      <c r="B20" s="43"/>
      <c r="C20" s="43"/>
      <c r="D20" s="43"/>
      <c r="E20" s="43"/>
      <c r="F20" s="43"/>
      <c r="G20" s="43"/>
      <c r="H20" s="43"/>
    </row>
    <row r="21" spans="1:8">
      <c r="A21" s="47" t="s">
        <v>116</v>
      </c>
      <c r="B21" s="43"/>
      <c r="C21" s="43"/>
      <c r="D21" s="43"/>
      <c r="E21" s="43"/>
      <c r="F21" s="43"/>
      <c r="G21" s="43"/>
      <c r="H21" s="43"/>
    </row>
    <row r="22" spans="1:8">
      <c r="A22" s="47" t="s">
        <v>117</v>
      </c>
      <c r="B22" s="43"/>
      <c r="C22" s="43"/>
      <c r="D22" s="43"/>
      <c r="E22" s="43"/>
      <c r="F22" s="43"/>
      <c r="G22" s="43"/>
      <c r="H22" s="43"/>
    </row>
    <row r="23" spans="1:8">
      <c r="A23" s="47" t="s">
        <v>118</v>
      </c>
      <c r="B23" s="43"/>
      <c r="C23" s="43"/>
      <c r="D23" s="43"/>
      <c r="E23" s="43"/>
      <c r="F23" s="43"/>
      <c r="G23" s="43"/>
      <c r="H23" s="43"/>
    </row>
    <row r="24" spans="1:8">
      <c r="A24" s="43"/>
      <c r="B24" s="43"/>
      <c r="C24" s="43"/>
      <c r="D24" s="43"/>
      <c r="E24" s="43"/>
      <c r="F24" s="43"/>
      <c r="G24" s="43"/>
      <c r="H24" s="43"/>
    </row>
    <row r="25" spans="1:8">
      <c r="A25" s="47" t="s">
        <v>119</v>
      </c>
      <c r="B25" s="43"/>
      <c r="C25" s="43"/>
      <c r="D25" s="43"/>
      <c r="E25" s="43"/>
      <c r="F25" s="43"/>
      <c r="G25" s="43"/>
      <c r="H25" s="43"/>
    </row>
    <row r="26" spans="1:8">
      <c r="A26" s="47" t="s">
        <v>120</v>
      </c>
      <c r="B26" s="43"/>
      <c r="C26" s="43"/>
      <c r="D26" s="43"/>
      <c r="E26" s="43"/>
      <c r="F26" s="43"/>
      <c r="G26" s="43"/>
      <c r="H26" s="43"/>
    </row>
    <row r="27" spans="1:8">
      <c r="A27" s="47" t="s">
        <v>121</v>
      </c>
      <c r="B27" s="43"/>
      <c r="C27" s="43"/>
      <c r="D27" s="43"/>
      <c r="E27" s="43"/>
      <c r="F27" s="43"/>
      <c r="G27" s="43"/>
      <c r="H27" s="43"/>
    </row>
    <row r="28" spans="1:8">
      <c r="A28" s="43"/>
      <c r="B28" s="43"/>
      <c r="C28" s="43"/>
      <c r="D28" s="43"/>
      <c r="E28" s="43"/>
      <c r="F28" s="43"/>
      <c r="G28" s="43"/>
      <c r="H28" s="43"/>
    </row>
    <row r="29" spans="1:8">
      <c r="A29" s="47" t="s">
        <v>122</v>
      </c>
      <c r="B29" s="43"/>
      <c r="C29" s="43"/>
      <c r="D29" s="43"/>
      <c r="E29" s="43"/>
      <c r="F29" s="43"/>
      <c r="G29" s="43"/>
      <c r="H29" s="43"/>
    </row>
    <row r="30" spans="1:8">
      <c r="A30" s="47" t="s">
        <v>123</v>
      </c>
      <c r="B30" s="43"/>
      <c r="C30" s="43"/>
      <c r="D30" s="43"/>
      <c r="E30" s="43"/>
      <c r="F30" s="43"/>
      <c r="G30" s="43"/>
      <c r="H30" s="43"/>
    </row>
    <row r="31" spans="1:8">
      <c r="A31" s="43"/>
      <c r="B31" s="43"/>
      <c r="C31" s="43"/>
      <c r="D31" s="43"/>
      <c r="E31" s="43"/>
      <c r="F31" s="43"/>
      <c r="G31" s="43"/>
      <c r="H31" s="43"/>
    </row>
    <row r="32" spans="1:8" ht="16">
      <c r="A32" s="40" t="s">
        <v>124</v>
      </c>
      <c r="B32" s="43"/>
      <c r="C32" s="43"/>
      <c r="D32" s="43"/>
      <c r="E32" s="43"/>
      <c r="F32" s="43"/>
      <c r="G32" s="43"/>
      <c r="H32" s="43"/>
    </row>
    <row r="33" spans="1:10">
      <c r="A33" s="47" t="s">
        <v>116</v>
      </c>
      <c r="B33" s="43"/>
      <c r="C33" s="43"/>
      <c r="D33" s="43"/>
      <c r="E33" s="43"/>
      <c r="F33" s="43"/>
      <c r="G33" s="43"/>
      <c r="H33" s="43"/>
    </row>
    <row r="34" spans="1:10">
      <c r="A34" s="47" t="s">
        <v>117</v>
      </c>
      <c r="B34" s="43"/>
      <c r="C34" s="43"/>
      <c r="D34" s="43"/>
      <c r="E34" s="43"/>
      <c r="F34" s="43"/>
      <c r="G34" s="43"/>
      <c r="H34" s="43"/>
    </row>
    <row r="35" spans="1:10">
      <c r="A35" s="47" t="s">
        <v>118</v>
      </c>
      <c r="B35" s="43"/>
      <c r="C35" s="43"/>
      <c r="D35" s="43"/>
      <c r="E35" s="43"/>
      <c r="F35" s="43"/>
      <c r="G35" s="43"/>
      <c r="H35" s="43"/>
    </row>
    <row r="36" spans="1:10">
      <c r="A36" s="43"/>
    </row>
    <row r="37" spans="1:10">
      <c r="A37" s="47" t="s">
        <v>119</v>
      </c>
    </row>
    <row r="38" spans="1:10">
      <c r="A38" s="47" t="s">
        <v>125</v>
      </c>
    </row>
    <row r="39" spans="1:10">
      <c r="A39" s="47" t="s">
        <v>126</v>
      </c>
      <c r="I39" s="308" t="s">
        <v>629</v>
      </c>
      <c r="J39" s="255">
        <f>PMT(0.15,5,1500)</f>
        <v>-447.47332869229251</v>
      </c>
    </row>
    <row r="40" spans="1:10">
      <c r="A40" s="43"/>
    </row>
    <row r="41" spans="1:10">
      <c r="A41" s="47" t="s">
        <v>127</v>
      </c>
    </row>
    <row r="42" spans="1:10">
      <c r="A42" s="47" t="s">
        <v>128</v>
      </c>
    </row>
  </sheetData>
  <pageMargins left="0.78740157480314965" right="0.78740157480314965" top="0.39370078740157483" bottom="0.19685039370078741" header="0.51181102362204722" footer="0.51181102362204722"/>
  <pageSetup paperSize="9" orientation="landscape" horizontalDpi="0" verticalDpi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8"/>
  <sheetViews>
    <sheetView showGridLines="0" zoomScale="160" zoomScaleNormal="160" workbookViewId="0"/>
  </sheetViews>
  <sheetFormatPr baseColWidth="10" defaultRowHeight="16"/>
  <cols>
    <col min="1" max="2" width="18.6640625" style="182" customWidth="1"/>
    <col min="3" max="3" width="20.83203125" style="182" customWidth="1"/>
    <col min="4" max="10" width="18.6640625" style="182" customWidth="1"/>
    <col min="11" max="16384" width="10.83203125" style="182"/>
  </cols>
  <sheetData>
    <row r="1" spans="1:11">
      <c r="A1" s="40" t="s">
        <v>493</v>
      </c>
      <c r="G1" s="182" t="s">
        <v>459</v>
      </c>
      <c r="H1" s="182">
        <v>20</v>
      </c>
      <c r="I1" s="267" t="s">
        <v>581</v>
      </c>
      <c r="J1" s="267">
        <f>H1/H2</f>
        <v>10</v>
      </c>
    </row>
    <row r="2" spans="1:11">
      <c r="G2" s="182" t="s">
        <v>580</v>
      </c>
      <c r="H2" s="182">
        <v>2</v>
      </c>
    </row>
    <row r="3" spans="1:11" ht="19" customHeight="1" thickBot="1">
      <c r="A3" s="183" t="s">
        <v>363</v>
      </c>
      <c r="B3" s="184"/>
      <c r="C3" s="184"/>
      <c r="D3" s="184"/>
      <c r="E3" s="184"/>
      <c r="F3" s="184"/>
      <c r="G3" s="184"/>
      <c r="H3" s="184"/>
      <c r="I3" s="184"/>
      <c r="J3" s="184"/>
    </row>
    <row r="4" spans="1:11" ht="17" thickTop="1">
      <c r="A4" s="182" t="s">
        <v>364</v>
      </c>
      <c r="B4" s="185" t="s">
        <v>92</v>
      </c>
      <c r="C4" s="185" t="s">
        <v>365</v>
      </c>
      <c r="D4" s="185" t="s">
        <v>366</v>
      </c>
      <c r="E4" s="185" t="s">
        <v>367</v>
      </c>
      <c r="F4" s="185" t="s">
        <v>385</v>
      </c>
      <c r="G4" s="185" t="s">
        <v>368</v>
      </c>
    </row>
    <row r="5" spans="1:11">
      <c r="A5" s="182" t="s">
        <v>369</v>
      </c>
      <c r="B5" s="182">
        <v>-100</v>
      </c>
      <c r="C5" s="182">
        <v>50</v>
      </c>
      <c r="D5" s="182">
        <v>30</v>
      </c>
      <c r="E5" s="182">
        <v>20</v>
      </c>
      <c r="G5" s="187">
        <f>3</f>
        <v>3</v>
      </c>
    </row>
    <row r="6" spans="1:11">
      <c r="A6" s="182" t="s">
        <v>573</v>
      </c>
      <c r="B6" s="190">
        <f>NPV(0.1,C5:E5)+B5</f>
        <v>-14.725770097670932</v>
      </c>
      <c r="G6" s="200" t="s">
        <v>574</v>
      </c>
    </row>
    <row r="7" spans="1:11">
      <c r="A7" s="182" t="s">
        <v>370</v>
      </c>
      <c r="B7" s="182">
        <v>-100</v>
      </c>
      <c r="C7" s="182">
        <v>50</v>
      </c>
      <c r="D7" s="182">
        <v>30</v>
      </c>
      <c r="E7" s="182">
        <v>20</v>
      </c>
      <c r="F7" s="264">
        <v>5</v>
      </c>
      <c r="G7" s="264"/>
      <c r="H7" s="264" t="s">
        <v>576</v>
      </c>
      <c r="I7" s="264"/>
      <c r="J7" s="264" t="s">
        <v>577</v>
      </c>
      <c r="K7" s="264"/>
    </row>
    <row r="8" spans="1:11">
      <c r="A8" s="182" t="s">
        <v>575</v>
      </c>
      <c r="B8" s="190">
        <f>NPV(0.1,C7:E7)+(F7/0.1)/(1.1)^3+B7</f>
        <v>22.839969947407951</v>
      </c>
      <c r="F8" s="265">
        <f>F7/0.1</f>
        <v>50</v>
      </c>
      <c r="G8" s="266"/>
      <c r="H8" s="264" t="s">
        <v>578</v>
      </c>
      <c r="J8" s="264" t="s">
        <v>579</v>
      </c>
    </row>
    <row r="10" spans="1:11" ht="17" thickBot="1">
      <c r="A10" s="183" t="s">
        <v>371</v>
      </c>
      <c r="B10" s="184"/>
      <c r="C10" s="184"/>
      <c r="D10" s="184"/>
      <c r="E10" s="184"/>
      <c r="F10" s="184"/>
      <c r="G10" s="184"/>
      <c r="H10" s="184"/>
      <c r="I10" s="184"/>
      <c r="J10" s="184"/>
    </row>
    <row r="11" spans="1:11" ht="17" thickTop="1">
      <c r="A11" s="182" t="s">
        <v>364</v>
      </c>
      <c r="B11" s="185" t="s">
        <v>92</v>
      </c>
      <c r="C11" s="185" t="s">
        <v>365</v>
      </c>
      <c r="D11" s="185" t="s">
        <v>366</v>
      </c>
      <c r="E11" s="185" t="s">
        <v>372</v>
      </c>
      <c r="F11" s="185" t="s">
        <v>373</v>
      </c>
      <c r="G11" s="186" t="s">
        <v>374</v>
      </c>
      <c r="H11" s="187"/>
    </row>
    <row r="12" spans="1:11">
      <c r="A12" s="182" t="s">
        <v>369</v>
      </c>
      <c r="B12" s="182">
        <v>-100</v>
      </c>
      <c r="C12" s="182">
        <v>230</v>
      </c>
      <c r="D12" s="182">
        <v>-132</v>
      </c>
      <c r="E12" s="188">
        <f>IRR(B12:D12)</f>
        <v>0.10000000000000009</v>
      </c>
      <c r="F12" s="188">
        <f>IRR(B12:D12,0.15)</f>
        <v>0.19999999999999862</v>
      </c>
      <c r="G12" s="189">
        <v>0.15</v>
      </c>
      <c r="H12" s="187"/>
    </row>
    <row r="14" spans="1:11" ht="17" thickBot="1">
      <c r="A14" s="183" t="s">
        <v>375</v>
      </c>
      <c r="B14" s="184"/>
      <c r="C14" s="184"/>
      <c r="D14" s="184"/>
      <c r="E14" s="184"/>
      <c r="F14" s="184"/>
      <c r="G14" s="184"/>
      <c r="H14" s="184"/>
      <c r="I14" s="184"/>
      <c r="J14" s="184"/>
    </row>
    <row r="15" spans="1:11" ht="17" thickTop="1">
      <c r="A15" s="182" t="s">
        <v>364</v>
      </c>
      <c r="B15" s="185" t="s">
        <v>92</v>
      </c>
      <c r="C15" s="185" t="s">
        <v>365</v>
      </c>
      <c r="D15" s="185" t="s">
        <v>376</v>
      </c>
      <c r="E15" s="185" t="s">
        <v>377</v>
      </c>
    </row>
    <row r="16" spans="1:11">
      <c r="A16" s="182" t="s">
        <v>369</v>
      </c>
      <c r="B16" s="182">
        <v>-10</v>
      </c>
      <c r="C16" s="182">
        <v>40</v>
      </c>
      <c r="D16" s="189">
        <f>IRR(B16:C16)</f>
        <v>3</v>
      </c>
      <c r="E16" s="190">
        <f>C16/1.25+B16</f>
        <v>22</v>
      </c>
    </row>
    <row r="17" spans="1:10">
      <c r="A17" s="182" t="s">
        <v>370</v>
      </c>
      <c r="B17" s="182">
        <v>-25</v>
      </c>
      <c r="C17" s="182">
        <v>65</v>
      </c>
      <c r="D17" s="188">
        <f>IRR(B17:C17)</f>
        <v>1.6</v>
      </c>
      <c r="E17" s="191">
        <f>C17/1.25+B17</f>
        <v>27</v>
      </c>
    </row>
    <row r="18" spans="1:10">
      <c r="A18" s="182" t="s">
        <v>378</v>
      </c>
      <c r="B18" s="182">
        <f>B17-B16</f>
        <v>-15</v>
      </c>
      <c r="C18" s="182">
        <f>C17-C16</f>
        <v>25</v>
      </c>
      <c r="D18" s="188">
        <f>IRR(B18:C18)</f>
        <v>0.66666666666666652</v>
      </c>
      <c r="E18" s="190"/>
    </row>
    <row r="20" spans="1:10" ht="17" thickBot="1">
      <c r="A20" s="183" t="s">
        <v>379</v>
      </c>
      <c r="B20" s="184"/>
      <c r="C20" s="184"/>
      <c r="D20" s="184"/>
      <c r="E20" s="184"/>
      <c r="F20" s="184"/>
      <c r="G20" s="184"/>
      <c r="H20" s="184"/>
      <c r="I20" s="184"/>
      <c r="J20" s="184"/>
    </row>
    <row r="21" spans="1:10" ht="17" thickTop="1">
      <c r="A21" s="182" t="s">
        <v>364</v>
      </c>
      <c r="B21" s="185" t="s">
        <v>92</v>
      </c>
      <c r="C21" s="185" t="s">
        <v>365</v>
      </c>
      <c r="D21" s="185" t="s">
        <v>366</v>
      </c>
      <c r="E21" s="185" t="s">
        <v>367</v>
      </c>
      <c r="F21" s="185" t="s">
        <v>376</v>
      </c>
      <c r="G21" s="185" t="s">
        <v>380</v>
      </c>
      <c r="H21" s="185" t="s">
        <v>381</v>
      </c>
      <c r="I21" s="185" t="s">
        <v>382</v>
      </c>
      <c r="J21" s="185" t="s">
        <v>383</v>
      </c>
    </row>
    <row r="22" spans="1:10">
      <c r="A22" s="182" t="s">
        <v>369</v>
      </c>
      <c r="B22" s="182">
        <v>-10000</v>
      </c>
      <c r="C22" s="182">
        <v>10000</v>
      </c>
      <c r="D22" s="182">
        <v>1000</v>
      </c>
      <c r="E22" s="182">
        <v>1000</v>
      </c>
      <c r="F22" s="189">
        <f>IRR(B22:E22)</f>
        <v>0.16043513752031413</v>
      </c>
      <c r="G22" s="190">
        <f>NPV(0.1,C22:E22)+B22</f>
        <v>668.67017280240179</v>
      </c>
      <c r="H22" s="191">
        <f>NPV(0.15,C22:E22)+B22</f>
        <v>109.31207364181864</v>
      </c>
      <c r="I22" s="192">
        <f>((C22*1.1^2+D22*1.1+E22)/-B22)^(1/3)-1</f>
        <v>0.1239908646142267</v>
      </c>
      <c r="J22" s="193">
        <f>((C22*1.15^2+D22*1.15+E22)/-B22)^(1/3)-1</f>
        <v>0.15417511987680421</v>
      </c>
    </row>
    <row r="23" spans="1:10">
      <c r="A23" s="182" t="s">
        <v>370</v>
      </c>
      <c r="B23" s="182">
        <v>-10000</v>
      </c>
      <c r="C23" s="182">
        <v>1000</v>
      </c>
      <c r="D23" s="182">
        <v>1000</v>
      </c>
      <c r="E23" s="182">
        <v>12000</v>
      </c>
      <c r="F23" s="188">
        <f>IRR(B23:E23)</f>
        <v>0.12936990157228956</v>
      </c>
      <c r="G23" s="191">
        <f>NPV(0.1,C23:E23)+B23</f>
        <v>751.31480090157675</v>
      </c>
      <c r="H23" s="190">
        <f>NPV(0.15,C23:E23)+B23</f>
        <v>-484.09632612805035</v>
      </c>
      <c r="I23" s="193">
        <f>((C23*1.1^2+D23*1.1+E23)/-B23)^(1/3)-1</f>
        <v>0.12688572626632166</v>
      </c>
      <c r="J23" s="192">
        <f>((C23*1.15^2+D23*1.15+E23)/-B23)^(1/3)-1</f>
        <v>0.13113520502166098</v>
      </c>
    </row>
    <row r="25" spans="1:10" ht="17" thickBot="1">
      <c r="A25" s="183" t="s">
        <v>384</v>
      </c>
      <c r="B25" s="184"/>
      <c r="C25" s="184"/>
      <c r="D25" s="184"/>
      <c r="E25" s="184"/>
      <c r="F25" s="184"/>
      <c r="G25" s="184"/>
      <c r="H25" s="184"/>
      <c r="I25" s="184"/>
      <c r="J25" s="184"/>
    </row>
    <row r="26" spans="1:10" ht="17" thickTop="1">
      <c r="A26" s="182" t="s">
        <v>364</v>
      </c>
      <c r="B26" s="185" t="s">
        <v>92</v>
      </c>
      <c r="C26" s="185" t="s">
        <v>365</v>
      </c>
      <c r="D26" s="185" t="s">
        <v>366</v>
      </c>
      <c r="E26" s="185" t="s">
        <v>367</v>
      </c>
      <c r="F26" s="185" t="s">
        <v>385</v>
      </c>
      <c r="G26" s="185" t="s">
        <v>386</v>
      </c>
      <c r="H26" s="185" t="s">
        <v>387</v>
      </c>
      <c r="I26" s="185" t="s">
        <v>388</v>
      </c>
      <c r="J26"/>
    </row>
    <row r="27" spans="1:10">
      <c r="A27" s="182" t="s">
        <v>389</v>
      </c>
      <c r="B27" s="194">
        <v>-500</v>
      </c>
      <c r="C27" s="182">
        <f>400-100</f>
        <v>300</v>
      </c>
      <c r="D27" s="182">
        <f>400-100</f>
        <v>300</v>
      </c>
      <c r="E27" s="182">
        <f>400-100</f>
        <v>300</v>
      </c>
      <c r="F27" s="195">
        <f>-500</f>
        <v>-500</v>
      </c>
      <c r="G27" s="182">
        <v>-100</v>
      </c>
      <c r="H27" s="190">
        <f>B27/((1/0.1)-(1/(0.1*(1.1^3))))</f>
        <v>-201.0574018126886</v>
      </c>
      <c r="I27" s="191">
        <f>H27+E27</f>
        <v>98.942598187311404</v>
      </c>
      <c r="J27"/>
    </row>
    <row r="28" spans="1:10">
      <c r="B28" s="194"/>
      <c r="C28" s="190">
        <f>H27</f>
        <v>-201.0574018126886</v>
      </c>
      <c r="D28" s="190">
        <f>C28</f>
        <v>-201.0574018126886</v>
      </c>
      <c r="E28" s="190">
        <f>D28</f>
        <v>-201.0574018126886</v>
      </c>
      <c r="F28" s="195"/>
      <c r="H28" s="190"/>
      <c r="I28" s="191"/>
      <c r="J28"/>
    </row>
    <row r="29" spans="1:10">
      <c r="A29" s="182" t="s">
        <v>582</v>
      </c>
      <c r="B29" s="268">
        <f>C29/0.1</f>
        <v>989.42598187311398</v>
      </c>
      <c r="C29" s="190">
        <f>C27+C28</f>
        <v>98.942598187311404</v>
      </c>
      <c r="D29" s="190">
        <f>D27+D28</f>
        <v>98.942598187311404</v>
      </c>
      <c r="E29" s="190">
        <f>E27+E28</f>
        <v>98.942598187311404</v>
      </c>
      <c r="F29" s="195"/>
      <c r="H29" s="190"/>
      <c r="I29" s="191"/>
      <c r="J29"/>
    </row>
    <row r="30" spans="1:10">
      <c r="A30" s="182" t="s">
        <v>584</v>
      </c>
      <c r="B30" s="268">
        <f>SUM(C29:E29)</f>
        <v>296.82779456193418</v>
      </c>
      <c r="C30" s="190"/>
      <c r="D30" s="190"/>
      <c r="E30" s="190"/>
      <c r="F30" s="195"/>
      <c r="H30" s="190"/>
      <c r="I30" s="191"/>
      <c r="J30"/>
    </row>
    <row r="31" spans="1:10">
      <c r="A31" s="182" t="s">
        <v>390</v>
      </c>
      <c r="B31" s="194">
        <v>-600</v>
      </c>
      <c r="C31" s="182">
        <f>400-120</f>
        <v>280</v>
      </c>
      <c r="D31" s="182">
        <f>400-120</f>
        <v>280</v>
      </c>
      <c r="E31" s="182">
        <f>400-120</f>
        <v>280</v>
      </c>
      <c r="F31" s="182">
        <f>400-120</f>
        <v>280</v>
      </c>
      <c r="G31" s="194">
        <f>-600</f>
        <v>-600</v>
      </c>
      <c r="H31" s="191">
        <f>B31/((1/0.1)-(1/(0.1*(1.1^4))))</f>
        <v>-189.28248222365858</v>
      </c>
      <c r="I31" s="190">
        <f>H31+F31</f>
        <v>90.717517776341424</v>
      </c>
      <c r="J31"/>
    </row>
    <row r="32" spans="1:10">
      <c r="C32" s="190">
        <f>H31</f>
        <v>-189.28248222365858</v>
      </c>
      <c r="D32" s="190">
        <f>C32</f>
        <v>-189.28248222365858</v>
      </c>
      <c r="E32" s="190">
        <f>D32</f>
        <v>-189.28248222365858</v>
      </c>
      <c r="F32" s="190">
        <f>E32</f>
        <v>-189.28248222365858</v>
      </c>
    </row>
    <row r="33" spans="1:10">
      <c r="A33" s="182" t="s">
        <v>583</v>
      </c>
      <c r="B33" s="268">
        <f>C33/0.1</f>
        <v>907.17517776341424</v>
      </c>
      <c r="C33" s="190">
        <f>C31+C32</f>
        <v>90.717517776341424</v>
      </c>
      <c r="D33" s="190">
        <f>D31+D32</f>
        <v>90.717517776341424</v>
      </c>
      <c r="E33" s="190">
        <f>E31+E32</f>
        <v>90.717517776341424</v>
      </c>
      <c r="F33" s="190">
        <f>F31+F32</f>
        <v>90.717517776341424</v>
      </c>
    </row>
    <row r="34" spans="1:10">
      <c r="A34" s="182" t="s">
        <v>585</v>
      </c>
      <c r="B34" s="268">
        <f>SUM(C33:F33)</f>
        <v>362.8700711053657</v>
      </c>
      <c r="C34" s="190"/>
      <c r="D34" s="190"/>
      <c r="E34" s="190"/>
      <c r="F34" s="190"/>
    </row>
    <row r="35" spans="1:10" ht="17" thickBot="1">
      <c r="A35" s="183" t="s">
        <v>586</v>
      </c>
      <c r="B35" s="184"/>
      <c r="C35" s="184"/>
      <c r="D35" s="184"/>
      <c r="E35" s="184"/>
      <c r="F35" s="184"/>
      <c r="G35" s="184"/>
      <c r="H35" s="184"/>
      <c r="I35" s="184"/>
      <c r="J35" s="184"/>
    </row>
    <row r="36" spans="1:10" ht="17" thickTop="1">
      <c r="A36" s="182" t="s">
        <v>391</v>
      </c>
      <c r="B36" s="185" t="s">
        <v>92</v>
      </c>
      <c r="C36" s="185" t="s">
        <v>392</v>
      </c>
      <c r="D36" s="185" t="s">
        <v>393</v>
      </c>
      <c r="E36" s="185" t="s">
        <v>587</v>
      </c>
      <c r="F36" s="185" t="s">
        <v>394</v>
      </c>
      <c r="G36"/>
      <c r="H36"/>
      <c r="I36"/>
      <c r="J36"/>
    </row>
    <row r="37" spans="1:10">
      <c r="A37" s="182" t="s">
        <v>369</v>
      </c>
      <c r="B37" s="182">
        <v>-200</v>
      </c>
      <c r="C37" s="196">
        <v>230</v>
      </c>
      <c r="D37" s="196">
        <f>C37+B37</f>
        <v>30</v>
      </c>
      <c r="E37" s="182">
        <f>C37/-B37</f>
        <v>1.1499999999999999</v>
      </c>
      <c r="F37" s="197">
        <f>200/300*E37+100/300*1</f>
        <v>1.0999999999999999</v>
      </c>
      <c r="G37" s="198" t="s">
        <v>395</v>
      </c>
      <c r="H37"/>
      <c r="I37"/>
      <c r="J37"/>
    </row>
    <row r="38" spans="1:10">
      <c r="A38" s="182" t="s">
        <v>370</v>
      </c>
      <c r="B38" s="182">
        <v>-125</v>
      </c>
      <c r="C38" s="196">
        <v>141.25</v>
      </c>
      <c r="D38" s="196">
        <f>C38+B38</f>
        <v>16.25</v>
      </c>
      <c r="E38" s="182">
        <f>C38/-B38</f>
        <v>1.1299999999999999</v>
      </c>
      <c r="F38" s="199">
        <f>B38/B41*E38+B39/B41*E39</f>
        <v>1.1183333333333334</v>
      </c>
      <c r="G38" s="200" t="s">
        <v>396</v>
      </c>
      <c r="H38"/>
      <c r="I38"/>
      <c r="J38"/>
    </row>
    <row r="39" spans="1:10">
      <c r="A39" s="182" t="s">
        <v>397</v>
      </c>
      <c r="B39" s="182">
        <v>-175</v>
      </c>
      <c r="C39" s="196">
        <v>194.25</v>
      </c>
      <c r="D39" s="196">
        <f>C39+B39</f>
        <v>19.25</v>
      </c>
      <c r="E39" s="182">
        <f>C39/-B39</f>
        <v>1.1100000000000001</v>
      </c>
      <c r="G39"/>
      <c r="H39"/>
    </row>
    <row r="40" spans="1:10">
      <c r="A40" s="182" t="s">
        <v>398</v>
      </c>
      <c r="B40" s="182">
        <v>-150</v>
      </c>
      <c r="C40" s="196">
        <v>162</v>
      </c>
      <c r="D40" s="196">
        <f>C40+B40</f>
        <v>12</v>
      </c>
      <c r="E40" s="182">
        <f>C40/-B40</f>
        <v>1.08</v>
      </c>
      <c r="F40" s="197">
        <f>B38/B41*E38+B40/B41*E40+(-25/B41*1)</f>
        <v>1.0941666666666665</v>
      </c>
      <c r="G40" s="198" t="s">
        <v>399</v>
      </c>
    </row>
    <row r="41" spans="1:10">
      <c r="A41" s="182" t="s">
        <v>400</v>
      </c>
      <c r="B41" s="182">
        <v>-300</v>
      </c>
    </row>
    <row r="43" spans="1:10">
      <c r="A43" s="187" t="s">
        <v>588</v>
      </c>
      <c r="B43" s="191"/>
    </row>
    <row r="44" spans="1:10">
      <c r="A44" s="182">
        <v>30</v>
      </c>
      <c r="B44" s="190" t="s">
        <v>589</v>
      </c>
      <c r="C44" s="182" t="s">
        <v>590</v>
      </c>
      <c r="F44" s="182">
        <f>A44*1.1</f>
        <v>33</v>
      </c>
    </row>
    <row r="45" spans="1:10">
      <c r="B45" s="182" t="s">
        <v>591</v>
      </c>
      <c r="C45" s="182" t="s">
        <v>592</v>
      </c>
      <c r="F45" s="182">
        <v>40</v>
      </c>
    </row>
    <row r="46" spans="1:10">
      <c r="C46" s="182" t="s">
        <v>520</v>
      </c>
      <c r="F46" s="196">
        <f>F45-F44</f>
        <v>7</v>
      </c>
    </row>
    <row r="47" spans="1:10">
      <c r="C47" s="182" t="s">
        <v>103</v>
      </c>
      <c r="F47" s="196">
        <f>F45/1.1-A44</f>
        <v>6.3636363636363598</v>
      </c>
    </row>
    <row r="48" spans="1:10">
      <c r="C48" s="182" t="s">
        <v>593</v>
      </c>
      <c r="F48" s="182">
        <f>10+(30-10)*0</f>
        <v>10</v>
      </c>
      <c r="G48" s="182" t="s">
        <v>595</v>
      </c>
    </row>
    <row r="49" spans="1:7">
      <c r="C49" s="182" t="s">
        <v>594</v>
      </c>
      <c r="F49" s="182">
        <f>10+(30-10)*1</f>
        <v>30</v>
      </c>
      <c r="G49" s="182" t="s">
        <v>596</v>
      </c>
    </row>
    <row r="50" spans="1:7">
      <c r="F50" s="182">
        <f>10+(30-10)*0.5</f>
        <v>20</v>
      </c>
      <c r="G50" s="182" t="s">
        <v>597</v>
      </c>
    </row>
    <row r="51" spans="1:7">
      <c r="F51" s="269">
        <f>10+(30-10)*(-0.2)</f>
        <v>6</v>
      </c>
      <c r="G51" s="182" t="s">
        <v>598</v>
      </c>
    </row>
    <row r="53" spans="1:7" ht="17" thickBot="1"/>
    <row r="54" spans="1:7">
      <c r="B54" s="272" t="s">
        <v>601</v>
      </c>
      <c r="C54" s="278" t="s">
        <v>599</v>
      </c>
      <c r="D54" s="273" t="s">
        <v>606</v>
      </c>
      <c r="E54" s="273" t="s">
        <v>364</v>
      </c>
      <c r="F54" s="273" t="s">
        <v>606</v>
      </c>
      <c r="G54" s="281" t="s">
        <v>600</v>
      </c>
    </row>
    <row r="55" spans="1:7">
      <c r="B55" s="274">
        <v>0.06</v>
      </c>
      <c r="C55" s="279">
        <v>0.1</v>
      </c>
      <c r="D55" s="275"/>
      <c r="E55" s="275"/>
      <c r="F55" s="270"/>
      <c r="G55" s="282">
        <v>0.3</v>
      </c>
    </row>
    <row r="56" spans="1:7" ht="17" thickBot="1">
      <c r="B56" s="276" t="s">
        <v>605</v>
      </c>
      <c r="C56" s="280" t="s">
        <v>602</v>
      </c>
      <c r="D56" s="277"/>
      <c r="E56" s="277" t="s">
        <v>604</v>
      </c>
      <c r="F56" s="271"/>
      <c r="G56" s="283" t="s">
        <v>603</v>
      </c>
    </row>
    <row r="59" spans="1:7">
      <c r="A59" s="187" t="s">
        <v>607</v>
      </c>
      <c r="B59" s="187"/>
    </row>
    <row r="60" spans="1:7">
      <c r="A60" s="182" t="s">
        <v>608</v>
      </c>
      <c r="B60" s="182" t="s">
        <v>619</v>
      </c>
      <c r="C60" s="296" t="s">
        <v>618</v>
      </c>
      <c r="D60" s="182" t="s">
        <v>617</v>
      </c>
    </row>
    <row r="61" spans="1:7">
      <c r="A61" s="182" t="s">
        <v>609</v>
      </c>
      <c r="B61" s="284">
        <v>0.02</v>
      </c>
      <c r="C61" s="297">
        <f>B61</f>
        <v>0.02</v>
      </c>
    </row>
    <row r="62" spans="1:7">
      <c r="A62" s="182" t="s">
        <v>610</v>
      </c>
      <c r="B62" s="284">
        <v>2.5000000000000001E-2</v>
      </c>
      <c r="C62" s="298">
        <f>((1+B62)^2)/(1+B61)-1</f>
        <v>3.0024509803921573E-2</v>
      </c>
      <c r="D62" s="295">
        <f>2.5*2-2</f>
        <v>3</v>
      </c>
    </row>
    <row r="63" spans="1:7">
      <c r="A63" s="182" t="s">
        <v>611</v>
      </c>
      <c r="B63" s="284">
        <v>0.03</v>
      </c>
      <c r="C63" s="298">
        <f>(1+B63)^3/((1+B61)*(1+C62))-1</f>
        <v>4.0073289708506987E-2</v>
      </c>
      <c r="D63" s="295">
        <f>3*3-2-3</f>
        <v>4</v>
      </c>
    </row>
    <row r="65" spans="1:5">
      <c r="A65" s="285" t="s">
        <v>615</v>
      </c>
      <c r="B65" s="288"/>
      <c r="C65" s="291"/>
      <c r="D65" s="287">
        <v>0.02</v>
      </c>
    </row>
    <row r="66" spans="1:5">
      <c r="A66" s="285" t="s">
        <v>616</v>
      </c>
      <c r="B66" s="289"/>
      <c r="C66" s="291"/>
      <c r="D66" s="284">
        <v>2.5000000000000001E-2</v>
      </c>
    </row>
    <row r="67" spans="1:5">
      <c r="A67" s="285" t="s">
        <v>612</v>
      </c>
      <c r="B67" s="289"/>
      <c r="C67" s="291"/>
      <c r="D67" s="287">
        <v>0.03</v>
      </c>
    </row>
    <row r="68" spans="1:5">
      <c r="A68" s="285"/>
      <c r="B68" s="289"/>
      <c r="C68" s="291"/>
    </row>
    <row r="69" spans="1:5">
      <c r="A69" s="286">
        <v>0.02</v>
      </c>
      <c r="B69" s="290" t="s">
        <v>613</v>
      </c>
      <c r="C69" s="292" t="s">
        <v>614</v>
      </c>
    </row>
    <row r="70" spans="1:5">
      <c r="B70" s="293">
        <f>((1+D66)^2)/(1+A69)-1</f>
        <v>3.0024509803921573E-2</v>
      </c>
      <c r="C70" s="294">
        <f>((1+D67)^3)/((1+A69)*(1+B70))-1</f>
        <v>4.0073289708506987E-2</v>
      </c>
    </row>
    <row r="73" spans="1:5">
      <c r="A73" s="182" t="s">
        <v>620</v>
      </c>
      <c r="B73" s="182" t="s">
        <v>621</v>
      </c>
      <c r="C73" s="182">
        <v>100</v>
      </c>
    </row>
    <row r="74" spans="1:5">
      <c r="B74" s="182" t="s">
        <v>625</v>
      </c>
      <c r="C74" s="182">
        <v>102</v>
      </c>
    </row>
    <row r="75" spans="1:5">
      <c r="D75" s="182" t="s">
        <v>626</v>
      </c>
      <c r="E75" s="296" t="s">
        <v>627</v>
      </c>
    </row>
    <row r="76" spans="1:5">
      <c r="A76" s="182" t="s">
        <v>622</v>
      </c>
      <c r="B76" s="182" t="s">
        <v>621</v>
      </c>
      <c r="C76" s="182" t="s">
        <v>623</v>
      </c>
      <c r="D76" s="196">
        <f>D77+D78</f>
        <v>124.02164911175655</v>
      </c>
      <c r="E76" s="299">
        <f>E77+E78</f>
        <v>128.63604530449896</v>
      </c>
    </row>
    <row r="77" spans="1:5">
      <c r="B77" s="182" t="s">
        <v>628</v>
      </c>
      <c r="C77" s="182">
        <v>10</v>
      </c>
      <c r="D77" s="196">
        <f>C77/(1+B61)</f>
        <v>9.8039215686274517</v>
      </c>
      <c r="E77" s="299">
        <f>C77/(1+C61)</f>
        <v>9.8039215686274517</v>
      </c>
    </row>
    <row r="78" spans="1:5">
      <c r="B78" s="182" t="s">
        <v>624</v>
      </c>
      <c r="C78" s="182">
        <f>10+110</f>
        <v>120</v>
      </c>
      <c r="D78" s="196">
        <f>C78/(1+B62)^2</f>
        <v>114.2177275431291</v>
      </c>
      <c r="E78" s="299">
        <f>C78/(1+C62)*(1+C61)</f>
        <v>118.83212373587151</v>
      </c>
    </row>
  </sheetData>
  <pageMargins left="0.75" right="0.75" top="1" bottom="1" header="0.5" footer="0.5"/>
  <pageSetup paperSize="5" orientation="portrait" horizontalDpi="4294967292" vertic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5"/>
  <sheetViews>
    <sheetView showGridLines="0" workbookViewId="0">
      <selection activeCell="B8" sqref="B8"/>
    </sheetView>
  </sheetViews>
  <sheetFormatPr baseColWidth="10" defaultColWidth="8.83203125" defaultRowHeight="16"/>
  <cols>
    <col min="1" max="1" width="47.33203125" style="182" customWidth="1"/>
    <col min="2" max="7" width="12.6640625" style="182" customWidth="1"/>
    <col min="8" max="8" width="8.83203125" style="182"/>
    <col min="9" max="9" width="10.1640625" style="182" bestFit="1" customWidth="1"/>
    <col min="10" max="16384" width="8.83203125" style="182"/>
  </cols>
  <sheetData>
    <row r="1" spans="1:15" ht="17" thickBot="1">
      <c r="A1" s="40" t="s">
        <v>401</v>
      </c>
    </row>
    <row r="2" spans="1:15">
      <c r="A2" s="201" t="s">
        <v>402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3"/>
    </row>
    <row r="3" spans="1:15">
      <c r="A3" s="204" t="s">
        <v>403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/>
    </row>
    <row r="4" spans="1:15">
      <c r="A4" s="204" t="s">
        <v>404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6"/>
    </row>
    <row r="5" spans="1:15">
      <c r="A5" s="204" t="s">
        <v>405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6"/>
    </row>
    <row r="6" spans="1:15" ht="17" thickBot="1">
      <c r="A6" s="207"/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9"/>
    </row>
    <row r="7" spans="1:15">
      <c r="A7" s="40" t="s">
        <v>406</v>
      </c>
    </row>
    <row r="8" spans="1:15">
      <c r="A8" s="40" t="s">
        <v>407</v>
      </c>
    </row>
    <row r="9" spans="1:15" ht="15.75" customHeight="1">
      <c r="A9" s="40"/>
    </row>
    <row r="10" spans="1:15">
      <c r="A10" s="40" t="s">
        <v>408</v>
      </c>
    </row>
    <row r="11" spans="1:15">
      <c r="A11" s="182" t="s">
        <v>409</v>
      </c>
    </row>
    <row r="12" spans="1:15">
      <c r="A12" s="182" t="s">
        <v>410</v>
      </c>
    </row>
    <row r="13" spans="1:15">
      <c r="A13" s="182" t="s">
        <v>411</v>
      </c>
    </row>
    <row r="14" spans="1:15">
      <c r="A14" s="182" t="s">
        <v>412</v>
      </c>
    </row>
    <row r="15" spans="1:15">
      <c r="A15" s="182" t="s">
        <v>413</v>
      </c>
    </row>
    <row r="16" spans="1:15">
      <c r="A16" s="182" t="s">
        <v>414</v>
      </c>
    </row>
    <row r="17" spans="1:7">
      <c r="A17" s="182" t="s">
        <v>415</v>
      </c>
    </row>
    <row r="18" spans="1:7">
      <c r="A18" s="182" t="s">
        <v>416</v>
      </c>
    </row>
    <row r="19" spans="1:7">
      <c r="A19" s="182" t="s">
        <v>417</v>
      </c>
    </row>
    <row r="20" spans="1:7">
      <c r="A20" s="182" t="s">
        <v>418</v>
      </c>
    </row>
    <row r="21" spans="1:7">
      <c r="A21" s="182" t="s">
        <v>419</v>
      </c>
    </row>
    <row r="22" spans="1:7">
      <c r="A22" s="182" t="s">
        <v>420</v>
      </c>
    </row>
    <row r="23" spans="1:7">
      <c r="A23" s="182" t="s">
        <v>421</v>
      </c>
    </row>
    <row r="24" spans="1:7">
      <c r="A24" s="182" t="s">
        <v>422</v>
      </c>
    </row>
    <row r="25" spans="1:7">
      <c r="A25" s="182" t="s">
        <v>423</v>
      </c>
    </row>
    <row r="26" spans="1:7">
      <c r="A26" s="182" t="s">
        <v>424</v>
      </c>
    </row>
    <row r="28" spans="1:7">
      <c r="A28" s="40" t="s">
        <v>425</v>
      </c>
    </row>
    <row r="29" spans="1:7">
      <c r="A29" s="210"/>
      <c r="B29" s="211" t="s">
        <v>92</v>
      </c>
      <c r="C29" s="211" t="s">
        <v>365</v>
      </c>
      <c r="D29" s="211" t="s">
        <v>366</v>
      </c>
      <c r="E29" s="211" t="s">
        <v>367</v>
      </c>
      <c r="F29" s="211" t="s">
        <v>385</v>
      </c>
      <c r="G29" s="211" t="s">
        <v>386</v>
      </c>
    </row>
    <row r="30" spans="1:7" ht="18.75" customHeight="1">
      <c r="A30" s="212" t="s">
        <v>426</v>
      </c>
      <c r="B30" s="213"/>
      <c r="C30" s="213"/>
      <c r="D30" s="213"/>
      <c r="E30" s="213"/>
      <c r="F30" s="213"/>
      <c r="G30" s="213"/>
    </row>
    <row r="31" spans="1:7" s="40" customFormat="1" ht="18">
      <c r="A31" s="214" t="s">
        <v>427</v>
      </c>
      <c r="B31" s="215">
        <v>-100000</v>
      </c>
      <c r="C31" s="215"/>
      <c r="D31" s="215"/>
      <c r="E31" s="215"/>
      <c r="F31" s="215"/>
      <c r="G31" s="215">
        <f>30000-((30000+G33)*0.34)</f>
        <v>29514.285714285714</v>
      </c>
    </row>
    <row r="32" spans="1:7">
      <c r="A32" s="216" t="s">
        <v>428</v>
      </c>
      <c r="B32" s="217">
        <v>0</v>
      </c>
      <c r="C32" s="217">
        <f>((100/7)/100)*$B$31</f>
        <v>-14285.714285714288</v>
      </c>
      <c r="D32" s="217">
        <f>((100/7)/100)*$B$31+C32</f>
        <v>-28571.428571428576</v>
      </c>
      <c r="E32" s="217">
        <f>((100/7)/100)*$B$31+D32</f>
        <v>-42857.142857142862</v>
      </c>
      <c r="F32" s="217">
        <f>((100/7)/100)*$B$31+E32</f>
        <v>-57142.857142857152</v>
      </c>
      <c r="G32" s="217">
        <f>((100/7)/100)*$B$31+F32</f>
        <v>-71428.571428571435</v>
      </c>
    </row>
    <row r="33" spans="1:7">
      <c r="A33" s="216" t="s">
        <v>429</v>
      </c>
      <c r="B33" s="217">
        <f t="shared" ref="B33:G33" si="0">$B$31-B32</f>
        <v>-100000</v>
      </c>
      <c r="C33" s="217">
        <f t="shared" si="0"/>
        <v>-85714.28571428571</v>
      </c>
      <c r="D33" s="217">
        <f t="shared" si="0"/>
        <v>-71428.57142857142</v>
      </c>
      <c r="E33" s="217">
        <f t="shared" si="0"/>
        <v>-57142.857142857138</v>
      </c>
      <c r="F33" s="217">
        <f t="shared" si="0"/>
        <v>-42857.142857142848</v>
      </c>
      <c r="G33" s="217">
        <f t="shared" si="0"/>
        <v>-28571.428571428565</v>
      </c>
    </row>
    <row r="34" spans="1:7" s="40" customFormat="1">
      <c r="A34" s="214" t="s">
        <v>430</v>
      </c>
      <c r="B34" s="215">
        <v>-250000</v>
      </c>
      <c r="C34" s="215"/>
      <c r="D34" s="215"/>
      <c r="E34" s="215"/>
      <c r="F34" s="215"/>
      <c r="G34" s="215">
        <v>250000</v>
      </c>
    </row>
    <row r="35" spans="1:7">
      <c r="A35" s="216" t="s">
        <v>431</v>
      </c>
      <c r="B35" s="217">
        <v>-10000</v>
      </c>
      <c r="C35" s="217">
        <f>B35</f>
        <v>-10000</v>
      </c>
      <c r="D35" s="217">
        <f>C35*(D38/C38)</f>
        <v>-16319.999999999998</v>
      </c>
      <c r="E35" s="217">
        <f>D35*(E38/D38)</f>
        <v>-24969.599999999999</v>
      </c>
      <c r="F35" s="217">
        <f>E35*(F38/E38)</f>
        <v>-21224.16</v>
      </c>
      <c r="G35" s="217">
        <v>0</v>
      </c>
    </row>
    <row r="36" spans="1:7" s="40" customFormat="1">
      <c r="A36" s="214" t="s">
        <v>432</v>
      </c>
      <c r="B36" s="215">
        <f>B35-0</f>
        <v>-10000</v>
      </c>
      <c r="C36" s="215">
        <f>C35-B35</f>
        <v>0</v>
      </c>
      <c r="D36" s="215">
        <f>D35-C35</f>
        <v>-6319.9999999999982</v>
      </c>
      <c r="E36" s="215">
        <f>E35-D35</f>
        <v>-8649.6</v>
      </c>
      <c r="F36" s="215">
        <f>F35-E35</f>
        <v>3745.4399999999987</v>
      </c>
      <c r="G36" s="215">
        <f>G35-F35</f>
        <v>21224.16</v>
      </c>
    </row>
    <row r="37" spans="1:7" ht="15" customHeight="1">
      <c r="A37" s="214" t="s">
        <v>433</v>
      </c>
      <c r="B37" s="218">
        <f t="shared" ref="B37:G37" si="1">B31+B34+B36</f>
        <v>-360000</v>
      </c>
      <c r="C37" s="218">
        <f t="shared" si="1"/>
        <v>0</v>
      </c>
      <c r="D37" s="218">
        <f t="shared" si="1"/>
        <v>-6319.9999999999982</v>
      </c>
      <c r="E37" s="218">
        <f t="shared" si="1"/>
        <v>-8649.6</v>
      </c>
      <c r="F37" s="218">
        <f t="shared" si="1"/>
        <v>3745.4399999999987</v>
      </c>
      <c r="G37" s="218">
        <f t="shared" si="1"/>
        <v>300738.44571428571</v>
      </c>
    </row>
    <row r="38" spans="1:7">
      <c r="A38" s="182" t="s">
        <v>434</v>
      </c>
      <c r="B38" s="217"/>
      <c r="C38" s="217">
        <f>C39*C40</f>
        <v>100000</v>
      </c>
      <c r="D38" s="217">
        <f>D39*D40</f>
        <v>163200</v>
      </c>
      <c r="E38" s="217">
        <f>E39*E40</f>
        <v>249696</v>
      </c>
      <c r="F38" s="217">
        <f>F39*F40</f>
        <v>212241.6</v>
      </c>
      <c r="G38" s="217">
        <f>G39*G40</f>
        <v>129891.85920000001</v>
      </c>
    </row>
    <row r="39" spans="1:7">
      <c r="A39" s="182" t="s">
        <v>435</v>
      </c>
      <c r="B39" s="217"/>
      <c r="C39" s="213">
        <v>5000</v>
      </c>
      <c r="D39" s="213">
        <v>8000</v>
      </c>
      <c r="E39" s="213">
        <v>12000</v>
      </c>
      <c r="F39" s="213">
        <v>10000</v>
      </c>
      <c r="G39" s="213">
        <v>6000</v>
      </c>
    </row>
    <row r="40" spans="1:7">
      <c r="A40" s="182" t="s">
        <v>436</v>
      </c>
      <c r="B40" s="217"/>
      <c r="C40" s="217">
        <v>20</v>
      </c>
      <c r="D40" s="217">
        <f>C40*1.02</f>
        <v>20.399999999999999</v>
      </c>
      <c r="E40" s="217">
        <f>D40*1.02</f>
        <v>20.808</v>
      </c>
      <c r="F40" s="217">
        <f>E40*1.02</f>
        <v>21.224160000000001</v>
      </c>
      <c r="G40" s="217">
        <f>F40*1.02</f>
        <v>21.648643200000002</v>
      </c>
    </row>
    <row r="41" spans="1:7">
      <c r="A41" s="182" t="s">
        <v>437</v>
      </c>
      <c r="B41" s="217"/>
      <c r="C41" s="217"/>
      <c r="D41" s="217">
        <f>(D38/C38-1)*100</f>
        <v>63.199999999999989</v>
      </c>
      <c r="E41" s="217">
        <f>(E38/D38-1)*100</f>
        <v>53</v>
      </c>
      <c r="F41" s="217">
        <f>(F38/E38-1)*100</f>
        <v>-15.000000000000002</v>
      </c>
      <c r="G41" s="217">
        <f>(G38/F38-1)*100</f>
        <v>-38.800000000000004</v>
      </c>
    </row>
    <row r="42" spans="1:7">
      <c r="A42" s="182" t="s">
        <v>438</v>
      </c>
      <c r="B42" s="217"/>
      <c r="C42" s="217">
        <f>C43*C44</f>
        <v>50000</v>
      </c>
      <c r="D42" s="217">
        <f>D43*D44</f>
        <v>88000</v>
      </c>
      <c r="E42" s="217">
        <f>E43*E44</f>
        <v>145200.00000000003</v>
      </c>
      <c r="F42" s="217">
        <f>F43*F44</f>
        <v>133100.00000000003</v>
      </c>
      <c r="G42" s="217">
        <f>G43*G44</f>
        <v>87846.000000000015</v>
      </c>
    </row>
    <row r="43" spans="1:7">
      <c r="A43" s="182" t="s">
        <v>435</v>
      </c>
      <c r="B43" s="217"/>
      <c r="C43" s="213">
        <v>5000</v>
      </c>
      <c r="D43" s="213">
        <v>8000</v>
      </c>
      <c r="E43" s="213">
        <v>12000</v>
      </c>
      <c r="F43" s="213">
        <v>10000</v>
      </c>
      <c r="G43" s="213">
        <v>6000</v>
      </c>
    </row>
    <row r="44" spans="1:7">
      <c r="A44" s="182" t="s">
        <v>439</v>
      </c>
      <c r="B44" s="213"/>
      <c r="C44" s="217">
        <v>10</v>
      </c>
      <c r="D44" s="217">
        <f>C44*1.1</f>
        <v>11</v>
      </c>
      <c r="E44" s="217">
        <f>D44*1.1</f>
        <v>12.100000000000001</v>
      </c>
      <c r="F44" s="217">
        <f>E44*1.1</f>
        <v>13.310000000000002</v>
      </c>
      <c r="G44" s="217">
        <f>F44*1.1</f>
        <v>14.641000000000004</v>
      </c>
    </row>
    <row r="45" spans="1:7" ht="19" customHeight="1">
      <c r="A45" s="182" t="s">
        <v>440</v>
      </c>
      <c r="B45" s="213"/>
      <c r="C45" s="217">
        <f>-(C32-B32)</f>
        <v>14285.714285714288</v>
      </c>
      <c r="D45" s="217">
        <f>-(D32-C32)</f>
        <v>14285.714285714288</v>
      </c>
      <c r="E45" s="217">
        <f>-(E32-D32)</f>
        <v>14285.714285714286</v>
      </c>
      <c r="F45" s="217">
        <f>-(F32-E32)</f>
        <v>14285.71428571429</v>
      </c>
      <c r="G45" s="217">
        <f>-(G32-F32)</f>
        <v>14285.714285714283</v>
      </c>
    </row>
    <row r="46" spans="1:7" ht="20" customHeight="1">
      <c r="A46" s="219" t="s">
        <v>441</v>
      </c>
      <c r="B46" s="220"/>
      <c r="C46" s="221">
        <f>C38-C42-C45</f>
        <v>35714.28571428571</v>
      </c>
      <c r="D46" s="221">
        <f>D38-D42-D45</f>
        <v>60914.28571428571</v>
      </c>
      <c r="E46" s="221">
        <f>E38-E42-E45</f>
        <v>90210.285714285681</v>
      </c>
      <c r="F46" s="221">
        <f>F38-F42-F45</f>
        <v>64855.885714285687</v>
      </c>
      <c r="G46" s="221">
        <f>G38-G42-G45</f>
        <v>27760.144914285709</v>
      </c>
    </row>
    <row r="47" spans="1:7">
      <c r="A47" s="216" t="s">
        <v>442</v>
      </c>
      <c r="B47" s="213"/>
      <c r="C47" s="217">
        <f>C46*0.34</f>
        <v>12142.857142857143</v>
      </c>
      <c r="D47" s="217">
        <f>D46*0.34</f>
        <v>20710.857142857141</v>
      </c>
      <c r="E47" s="217">
        <f>E46*0.34</f>
        <v>30671.497142857133</v>
      </c>
      <c r="F47" s="217">
        <f>F46*0.34</f>
        <v>22051.001142857134</v>
      </c>
      <c r="G47" s="217">
        <f>G46*0.34</f>
        <v>9438.4492708571415</v>
      </c>
    </row>
    <row r="48" spans="1:7">
      <c r="A48" s="216" t="s">
        <v>443</v>
      </c>
      <c r="B48" s="220"/>
      <c r="C48" s="221">
        <f>C46-C47</f>
        <v>23571.428571428565</v>
      </c>
      <c r="D48" s="221">
        <f>D46-D47</f>
        <v>40203.428571428565</v>
      </c>
      <c r="E48" s="221">
        <f>E46-E47</f>
        <v>59538.788571428551</v>
      </c>
      <c r="F48" s="221">
        <f>F46-F47</f>
        <v>42804.884571428556</v>
      </c>
      <c r="G48" s="221">
        <f>G46-G47</f>
        <v>18321.695643428568</v>
      </c>
    </row>
    <row r="49" spans="1:7" ht="21" customHeight="1">
      <c r="A49" s="212" t="s">
        <v>444</v>
      </c>
      <c r="B49" s="220"/>
      <c r="C49" s="220"/>
      <c r="D49" s="220"/>
      <c r="E49" s="220"/>
      <c r="F49" s="220"/>
      <c r="G49" s="220"/>
    </row>
    <row r="50" spans="1:7">
      <c r="A50" s="214" t="s">
        <v>445</v>
      </c>
      <c r="B50" s="222"/>
      <c r="C50" s="218">
        <f>C38-C42-C47</f>
        <v>37857.142857142855</v>
      </c>
      <c r="D50" s="218">
        <f>D38-D42-D47</f>
        <v>54489.142857142855</v>
      </c>
      <c r="E50" s="218">
        <f>E38-E42-E47</f>
        <v>73824.502857142841</v>
      </c>
      <c r="F50" s="218">
        <f>F38-F42-F47</f>
        <v>57090.598857142846</v>
      </c>
      <c r="G50" s="218">
        <f>G38-G42-G47</f>
        <v>32607.40992914285</v>
      </c>
    </row>
    <row r="51" spans="1:7" ht="21.75" customHeight="1">
      <c r="A51" s="223" t="s">
        <v>446</v>
      </c>
      <c r="B51" s="224">
        <f t="shared" ref="B51:G51" si="2">B50+B37</f>
        <v>-360000</v>
      </c>
      <c r="C51" s="224">
        <f t="shared" si="2"/>
        <v>37857.142857142855</v>
      </c>
      <c r="D51" s="224">
        <f t="shared" si="2"/>
        <v>48169.142857142855</v>
      </c>
      <c r="E51" s="224">
        <f t="shared" si="2"/>
        <v>65174.902857142843</v>
      </c>
      <c r="F51" s="224">
        <f t="shared" si="2"/>
        <v>60836.038857142848</v>
      </c>
      <c r="G51" s="224">
        <f t="shared" si="2"/>
        <v>333345.85564342857</v>
      </c>
    </row>
    <row r="52" spans="1:7">
      <c r="A52" s="40" t="s">
        <v>447</v>
      </c>
      <c r="B52" s="225">
        <f>NPV(4%,$C$51:$G$51)+$B$51</f>
        <v>104865.32618209725</v>
      </c>
      <c r="C52" s="213"/>
      <c r="D52" s="213"/>
      <c r="E52" s="213"/>
      <c r="F52" s="213"/>
      <c r="G52" s="213"/>
    </row>
    <row r="53" spans="1:7">
      <c r="A53" s="40" t="s">
        <v>448</v>
      </c>
      <c r="B53" s="225">
        <f>NPV(10%,$C$51:$G$51)+$B$51</f>
        <v>11725.045385268226</v>
      </c>
      <c r="C53" s="213"/>
      <c r="D53" s="213"/>
      <c r="E53" s="213"/>
      <c r="F53" s="213"/>
      <c r="G53" s="213"/>
    </row>
    <row r="54" spans="1:7">
      <c r="A54" s="40" t="s">
        <v>449</v>
      </c>
      <c r="B54" s="225">
        <f>NPV(15%,$C$51:$G$51)+$B$51</f>
        <v>-47289.389535712544</v>
      </c>
      <c r="C54" s="225" t="s">
        <v>450</v>
      </c>
      <c r="D54" s="226">
        <f>IRR(B51:G51)</f>
        <v>0.10901865100086394</v>
      </c>
      <c r="E54" s="213"/>
      <c r="F54" s="213"/>
      <c r="G54" s="213"/>
    </row>
    <row r="55" spans="1:7">
      <c r="A55" s="227" t="s">
        <v>451</v>
      </c>
      <c r="B55" s="228">
        <f>NPV(20%,$C$51:$G$51)+$B$51</f>
        <v>-93982.039017489704</v>
      </c>
      <c r="C55" s="229"/>
      <c r="D55" s="229"/>
      <c r="E55" s="229"/>
      <c r="F55" s="229"/>
      <c r="G55" s="229"/>
    </row>
    <row r="56" spans="1:7">
      <c r="A56" s="182" t="s">
        <v>112</v>
      </c>
      <c r="B56" s="213"/>
      <c r="C56" s="213"/>
      <c r="D56" s="213"/>
      <c r="E56" s="213"/>
      <c r="F56" s="213"/>
      <c r="G56" s="213"/>
    </row>
    <row r="57" spans="1:7">
      <c r="A57" s="182" t="s">
        <v>452</v>
      </c>
      <c r="B57" s="213"/>
      <c r="C57" s="213"/>
      <c r="D57" s="213"/>
      <c r="E57" s="213"/>
      <c r="F57" s="213"/>
      <c r="G57" s="213"/>
    </row>
    <row r="58" spans="1:7">
      <c r="A58" s="182" t="s">
        <v>453</v>
      </c>
      <c r="B58" s="213"/>
      <c r="C58" s="213"/>
      <c r="D58" s="213"/>
      <c r="E58" s="213"/>
      <c r="F58" s="213"/>
      <c r="G58" s="213"/>
    </row>
    <row r="59" spans="1:7">
      <c r="A59" s="182" t="s">
        <v>454</v>
      </c>
      <c r="B59" s="213"/>
      <c r="C59" s="213"/>
      <c r="D59" s="213"/>
      <c r="E59" s="213"/>
      <c r="F59" s="213"/>
      <c r="G59" s="213"/>
    </row>
    <row r="60" spans="1:7">
      <c r="A60" s="182" t="s">
        <v>455</v>
      </c>
      <c r="B60" s="213"/>
      <c r="C60" s="213"/>
      <c r="D60" s="213"/>
      <c r="E60" s="213"/>
      <c r="F60" s="213"/>
      <c r="G60" s="213"/>
    </row>
    <row r="61" spans="1:7">
      <c r="A61" s="182" t="s">
        <v>456</v>
      </c>
      <c r="B61" s="213"/>
      <c r="C61" s="213"/>
      <c r="D61" s="213"/>
      <c r="E61" s="213"/>
      <c r="F61" s="213"/>
      <c r="G61" s="213"/>
    </row>
    <row r="62" spans="1:7">
      <c r="A62" s="182" t="s">
        <v>457</v>
      </c>
      <c r="B62" s="213"/>
      <c r="C62" s="213"/>
      <c r="D62" s="213"/>
      <c r="E62" s="213"/>
      <c r="F62" s="213"/>
      <c r="G62" s="213"/>
    </row>
    <row r="63" spans="1:7">
      <c r="B63" s="213"/>
      <c r="C63" s="213"/>
      <c r="D63" s="213"/>
      <c r="E63" s="213"/>
      <c r="F63" s="213"/>
      <c r="G63" s="213"/>
    </row>
    <row r="64" spans="1:7">
      <c r="B64" s="213"/>
      <c r="C64" s="213"/>
      <c r="D64" s="213"/>
      <c r="E64" s="213"/>
      <c r="F64" s="213"/>
      <c r="G64" s="213"/>
    </row>
    <row r="65" spans="2:7">
      <c r="B65" s="213"/>
      <c r="C65" s="213"/>
      <c r="D65" s="213"/>
      <c r="E65" s="213"/>
      <c r="F65" s="213"/>
      <c r="G65" s="21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4"/>
  <sheetViews>
    <sheetView showGridLines="0" tabSelected="1" workbookViewId="0"/>
  </sheetViews>
  <sheetFormatPr baseColWidth="10" defaultRowHeight="16"/>
  <cols>
    <col min="1" max="1" width="20.6640625" style="182" customWidth="1"/>
    <col min="2" max="2" width="19" style="182" customWidth="1"/>
    <col min="3" max="4" width="16.33203125" style="182" customWidth="1"/>
    <col min="5" max="5" width="19.33203125" style="182" bestFit="1" customWidth="1"/>
    <col min="6" max="6" width="16.33203125" style="182" customWidth="1"/>
    <col min="7" max="7" width="18.1640625" style="182" bestFit="1" customWidth="1"/>
    <col min="8" max="8" width="16.33203125" style="182" customWidth="1"/>
    <col min="9" max="10" width="30.83203125" style="182" bestFit="1" customWidth="1"/>
    <col min="11" max="16384" width="10.83203125" style="182"/>
  </cols>
  <sheetData>
    <row r="1" spans="1:10">
      <c r="A1" s="40" t="s">
        <v>495</v>
      </c>
    </row>
    <row r="3" spans="1:10" ht="17" thickBot="1">
      <c r="A3" s="183" t="s">
        <v>458</v>
      </c>
      <c r="B3" s="184"/>
      <c r="C3" s="184"/>
      <c r="D3" s="184"/>
      <c r="E3" s="184"/>
      <c r="F3" s="184"/>
      <c r="G3" s="184"/>
      <c r="H3" s="184"/>
      <c r="I3" s="184"/>
    </row>
    <row r="4" spans="1:10" ht="17" thickTop="1">
      <c r="A4" s="185" t="s">
        <v>459</v>
      </c>
      <c r="B4" s="185" t="s">
        <v>460</v>
      </c>
      <c r="C4" s="185" t="s">
        <v>461</v>
      </c>
      <c r="D4" s="185" t="s">
        <v>462</v>
      </c>
    </row>
    <row r="5" spans="1:10">
      <c r="A5" s="182">
        <f>B5/(C5-D5)</f>
        <v>20</v>
      </c>
      <c r="B5" s="182">
        <v>1</v>
      </c>
      <c r="C5" s="230">
        <v>0.1</v>
      </c>
      <c r="D5" s="230">
        <v>0.05</v>
      </c>
    </row>
    <row r="7" spans="1:10" ht="17" thickBot="1">
      <c r="A7" s="182" t="s">
        <v>463</v>
      </c>
    </row>
    <row r="8" spans="1:10" ht="17" thickBot="1">
      <c r="A8" s="185" t="s">
        <v>459</v>
      </c>
      <c r="B8" s="185" t="s">
        <v>460</v>
      </c>
      <c r="C8" s="185" t="s">
        <v>464</v>
      </c>
      <c r="D8" s="185" t="s">
        <v>465</v>
      </c>
      <c r="E8" s="185" t="s">
        <v>466</v>
      </c>
      <c r="F8" s="302" t="s">
        <v>496</v>
      </c>
      <c r="G8" s="303"/>
      <c r="H8" s="303"/>
      <c r="I8" s="303"/>
      <c r="J8" s="304"/>
    </row>
    <row r="9" spans="1:10">
      <c r="A9" s="182">
        <f>(B9/1.1)+(C9/1.1^2)+(D9/1.1^3)+(E9/(0.1-0.05))/1.1^3</f>
        <v>19.999999999999993</v>
      </c>
      <c r="B9" s="182">
        <v>1</v>
      </c>
      <c r="C9" s="182">
        <f>B9*1.05</f>
        <v>1.05</v>
      </c>
      <c r="D9" s="182">
        <f>1*1.05^2</f>
        <v>1.1025</v>
      </c>
      <c r="E9" s="182">
        <f>1*1.05^3</f>
        <v>1.1576250000000001</v>
      </c>
      <c r="F9" s="234"/>
      <c r="G9" s="234"/>
      <c r="H9" s="234"/>
      <c r="I9" s="185"/>
    </row>
    <row r="11" spans="1:10" ht="17" thickBot="1">
      <c r="A11" s="183" t="s">
        <v>467</v>
      </c>
      <c r="B11" s="184"/>
      <c r="C11" s="184"/>
      <c r="D11" s="184"/>
      <c r="E11" s="184"/>
      <c r="F11" s="184"/>
      <c r="G11" s="184"/>
      <c r="H11" s="184"/>
      <c r="I11" s="184"/>
      <c r="J11" s="184"/>
    </row>
    <row r="12" spans="1:10" ht="17" thickTop="1">
      <c r="A12" s="185" t="s">
        <v>468</v>
      </c>
      <c r="B12" s="185" t="s">
        <v>469</v>
      </c>
      <c r="C12" s="185" t="s">
        <v>470</v>
      </c>
      <c r="D12" s="185" t="s">
        <v>98</v>
      </c>
      <c r="E12" s="185" t="s">
        <v>471</v>
      </c>
      <c r="F12" s="185" t="s">
        <v>472</v>
      </c>
      <c r="G12" s="185" t="s">
        <v>473</v>
      </c>
      <c r="H12" s="185" t="s">
        <v>474</v>
      </c>
      <c r="I12" s="185" t="s">
        <v>475</v>
      </c>
      <c r="J12" s="185" t="s">
        <v>476</v>
      </c>
    </row>
    <row r="13" spans="1:10">
      <c r="A13" s="182">
        <v>0</v>
      </c>
      <c r="B13" s="182">
        <v>-1000</v>
      </c>
    </row>
    <row r="14" spans="1:10">
      <c r="A14" s="182">
        <v>1</v>
      </c>
      <c r="C14" s="182">
        <v>700</v>
      </c>
      <c r="D14" s="182">
        <v>200</v>
      </c>
      <c r="E14" s="182">
        <v>200</v>
      </c>
      <c r="F14" s="182">
        <v>50</v>
      </c>
      <c r="G14" s="182">
        <f>(C14-D14-F14)*0.5</f>
        <v>225</v>
      </c>
      <c r="H14" s="182">
        <f>C14-D14-F14-G14</f>
        <v>225</v>
      </c>
      <c r="I14" s="182">
        <f>H14+D14-E14</f>
        <v>225</v>
      </c>
      <c r="J14" s="182">
        <f>C14*(1-0.5)+D14*0.5-E14</f>
        <v>250</v>
      </c>
    </row>
    <row r="15" spans="1:10">
      <c r="A15" s="182">
        <v>2</v>
      </c>
      <c r="C15" s="182">
        <v>700</v>
      </c>
      <c r="D15" s="182">
        <v>200</v>
      </c>
      <c r="E15" s="182">
        <v>200</v>
      </c>
      <c r="F15" s="182">
        <v>50</v>
      </c>
      <c r="G15" s="182">
        <f>(C15-D15-F15)*0.5</f>
        <v>225</v>
      </c>
      <c r="H15" s="182">
        <f>C15-D15-F15-G15</f>
        <v>225</v>
      </c>
      <c r="I15" s="182">
        <f>H15+D15-E15</f>
        <v>225</v>
      </c>
      <c r="J15" s="182">
        <f>C15*(1-0.5)+D15*0.5-E15</f>
        <v>250</v>
      </c>
    </row>
    <row r="16" spans="1:10">
      <c r="A16" s="182">
        <v>3</v>
      </c>
      <c r="C16" s="182">
        <v>700</v>
      </c>
      <c r="D16" s="182">
        <v>200</v>
      </c>
      <c r="E16" s="182">
        <v>200</v>
      </c>
      <c r="F16" s="182">
        <v>50</v>
      </c>
      <c r="G16" s="182">
        <f>(C16-D16-F16)*0.5</f>
        <v>225</v>
      </c>
      <c r="H16" s="182">
        <f>C16-D16-F16-G16</f>
        <v>225</v>
      </c>
      <c r="I16" s="182">
        <f>H16+D16-E16</f>
        <v>225</v>
      </c>
      <c r="J16" s="182">
        <f>C16*(1-0.5)+D16*0.5-E16</f>
        <v>250</v>
      </c>
    </row>
    <row r="17" spans="1:10">
      <c r="A17" s="182">
        <v>4</v>
      </c>
      <c r="C17" s="182">
        <v>700</v>
      </c>
      <c r="D17" s="182">
        <v>200</v>
      </c>
      <c r="E17" s="182">
        <v>200</v>
      </c>
      <c r="F17" s="182">
        <v>50</v>
      </c>
      <c r="G17" s="182">
        <f>(C17-D17-F17)*0.5</f>
        <v>225</v>
      </c>
      <c r="H17" s="182">
        <f>C17-D17-F17-G17</f>
        <v>225</v>
      </c>
      <c r="I17" s="182">
        <f>H17+D17-E17</f>
        <v>225</v>
      </c>
      <c r="J17" s="182">
        <f>C17*(1-0.5)+D17*0.5-E17</f>
        <v>250</v>
      </c>
    </row>
    <row r="18" spans="1:10">
      <c r="A18" s="182">
        <v>5</v>
      </c>
      <c r="C18" s="182">
        <v>700</v>
      </c>
      <c r="D18" s="182">
        <v>200</v>
      </c>
      <c r="E18" s="182">
        <v>200</v>
      </c>
      <c r="F18" s="182">
        <v>50</v>
      </c>
      <c r="G18" s="182">
        <f>(C18-D18-F18)*0.5</f>
        <v>225</v>
      </c>
      <c r="H18" s="182">
        <f>C18-D18-F18-G18</f>
        <v>225</v>
      </c>
      <c r="I18" s="182">
        <f>H18+D18-E18</f>
        <v>225</v>
      </c>
      <c r="J18" s="182">
        <f>C18*(1-0.5)+D18*0.5-E18</f>
        <v>250</v>
      </c>
    </row>
    <row r="19" spans="1:10">
      <c r="A19" s="182" t="s">
        <v>112</v>
      </c>
    </row>
    <row r="20" spans="1:10">
      <c r="A20" s="182" t="s">
        <v>477</v>
      </c>
    </row>
    <row r="21" spans="1:10">
      <c r="A21" s="182" t="s">
        <v>478</v>
      </c>
    </row>
    <row r="22" spans="1:10">
      <c r="A22" s="182" t="s">
        <v>479</v>
      </c>
    </row>
    <row r="24" spans="1:10">
      <c r="A24" s="182" t="s">
        <v>480</v>
      </c>
      <c r="C24" s="230">
        <v>0.3</v>
      </c>
      <c r="D24" s="182" t="s">
        <v>630</v>
      </c>
    </row>
    <row r="25" spans="1:10">
      <c r="A25" s="182" t="s">
        <v>481</v>
      </c>
      <c r="C25" s="230">
        <v>0.1</v>
      </c>
      <c r="D25" s="182" t="s">
        <v>631</v>
      </c>
    </row>
    <row r="26" spans="1:10">
      <c r="A26" s="182" t="s">
        <v>482</v>
      </c>
      <c r="C26" s="230">
        <v>0</v>
      </c>
    </row>
    <row r="27" spans="1:10">
      <c r="C27" s="230"/>
    </row>
    <row r="28" spans="1:10" ht="17" thickBot="1">
      <c r="A28" s="187" t="s">
        <v>483</v>
      </c>
      <c r="B28" s="187"/>
      <c r="C28" s="187"/>
      <c r="D28" s="187"/>
      <c r="E28" s="231">
        <f>I18</f>
        <v>225</v>
      </c>
      <c r="F28" s="182">
        <f>((C14-D14)*0.5)/B34</f>
        <v>1250</v>
      </c>
    </row>
    <row r="29" spans="1:10" ht="17" thickBot="1">
      <c r="A29" s="187" t="s">
        <v>484</v>
      </c>
      <c r="B29" s="187"/>
      <c r="C29" s="187"/>
      <c r="D29" s="187"/>
      <c r="E29" s="231">
        <f>J18</f>
        <v>250</v>
      </c>
      <c r="F29" s="302" t="s">
        <v>497</v>
      </c>
      <c r="G29" s="303"/>
      <c r="H29" s="303"/>
      <c r="I29" s="303"/>
      <c r="J29" s="304"/>
    </row>
    <row r="30" spans="1:10" ht="17" thickBot="1">
      <c r="E30" s="196"/>
    </row>
    <row r="31" spans="1:10">
      <c r="A31" s="182" t="s">
        <v>485</v>
      </c>
      <c r="B31" s="232">
        <f>E28/C24</f>
        <v>750</v>
      </c>
      <c r="C31" s="236">
        <f>B31/B33</f>
        <v>0.6</v>
      </c>
      <c r="D31" s="235" t="s">
        <v>498</v>
      </c>
      <c r="E31" s="237"/>
    </row>
    <row r="32" spans="1:10" ht="17" thickBot="1">
      <c r="A32" s="182" t="s">
        <v>486</v>
      </c>
      <c r="B32" s="196">
        <f>F18/0.1</f>
        <v>500</v>
      </c>
      <c r="C32" s="238">
        <f>B32/B33</f>
        <v>0.4</v>
      </c>
      <c r="D32" s="239"/>
      <c r="E32" s="240"/>
    </row>
    <row r="33" spans="1:3">
      <c r="A33" s="182" t="s">
        <v>487</v>
      </c>
      <c r="B33" s="196">
        <f>B31+B32</f>
        <v>1250</v>
      </c>
      <c r="C33" s="196">
        <f>J18/B34</f>
        <v>1250</v>
      </c>
    </row>
    <row r="34" spans="1:3">
      <c r="A34" s="182" t="s">
        <v>488</v>
      </c>
      <c r="B34" s="230">
        <f>C24*C31+C25*C32*(1-0.5)</f>
        <v>0.2</v>
      </c>
      <c r="C34" s="196"/>
    </row>
  </sheetData>
  <mergeCells count="2">
    <mergeCell ref="F8:J8"/>
    <mergeCell ref="F29:J29"/>
  </mergeCells>
  <pageMargins left="0.75" right="0.75" top="1" bottom="1" header="0.5" footer="0.5"/>
  <pageSetup paperSize="5" orientation="portrait" horizontalDpi="4294967292" verticalDpi="429496729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70"/>
  <sheetViews>
    <sheetView showGridLines="0" zoomScale="150" zoomScaleNormal="150" workbookViewId="0">
      <selection activeCell="D7" sqref="D7"/>
    </sheetView>
  </sheetViews>
  <sheetFormatPr baseColWidth="10" defaultColWidth="9.1640625" defaultRowHeight="13"/>
  <cols>
    <col min="1" max="1" width="47.83203125" style="50" customWidth="1"/>
    <col min="2" max="7" width="17.5" style="50" customWidth="1"/>
    <col min="8" max="16384" width="9.1640625" style="50"/>
  </cols>
  <sheetData>
    <row r="1" spans="1:5" ht="27" customHeight="1">
      <c r="A1" s="48" t="s">
        <v>129</v>
      </c>
      <c r="B1" s="49"/>
      <c r="C1" s="49"/>
      <c r="D1" s="49"/>
      <c r="E1" s="49"/>
    </row>
    <row r="2" spans="1:5" ht="18" customHeight="1">
      <c r="A2" s="51"/>
    </row>
    <row r="3" spans="1:5" ht="23.25" customHeight="1">
      <c r="A3" s="52" t="s">
        <v>130</v>
      </c>
      <c r="B3" s="53"/>
    </row>
    <row r="4" spans="1:5" ht="21" customHeight="1">
      <c r="A4" s="54" t="s">
        <v>131</v>
      </c>
      <c r="B4" s="55"/>
    </row>
    <row r="5" spans="1:5" ht="20.25" customHeight="1">
      <c r="A5" s="56" t="s">
        <v>132</v>
      </c>
      <c r="B5" s="57" t="s">
        <v>133</v>
      </c>
    </row>
    <row r="6" spans="1:5">
      <c r="A6" s="50" t="s">
        <v>134</v>
      </c>
      <c r="B6" s="58">
        <v>80000</v>
      </c>
    </row>
    <row r="7" spans="1:5">
      <c r="A7" s="50" t="s">
        <v>135</v>
      </c>
      <c r="B7" s="58">
        <v>120000</v>
      </c>
    </row>
    <row r="8" spans="1:5">
      <c r="A8" s="50" t="s">
        <v>136</v>
      </c>
      <c r="B8" s="58">
        <v>350000</v>
      </c>
    </row>
    <row r="9" spans="1:5">
      <c r="A9" s="50" t="s">
        <v>137</v>
      </c>
      <c r="B9" s="58">
        <v>90000</v>
      </c>
    </row>
    <row r="10" spans="1:5">
      <c r="A10" s="50" t="s">
        <v>138</v>
      </c>
      <c r="B10" s="58">
        <v>60000</v>
      </c>
    </row>
    <row r="11" spans="1:5">
      <c r="A11" s="50" t="s">
        <v>139</v>
      </c>
      <c r="B11" s="58">
        <v>10000</v>
      </c>
    </row>
    <row r="12" spans="1:5">
      <c r="A12" s="50" t="s">
        <v>140</v>
      </c>
      <c r="B12" s="58">
        <v>50000</v>
      </c>
    </row>
    <row r="13" spans="1:5">
      <c r="A13" s="50" t="s">
        <v>141</v>
      </c>
      <c r="B13" s="58">
        <v>40000</v>
      </c>
    </row>
    <row r="14" spans="1:5">
      <c r="A14" s="50" t="s">
        <v>142</v>
      </c>
      <c r="B14" s="58">
        <v>15000</v>
      </c>
    </row>
    <row r="15" spans="1:5">
      <c r="A15" s="50" t="s">
        <v>143</v>
      </c>
      <c r="B15" s="58">
        <v>85000</v>
      </c>
    </row>
    <row r="16" spans="1:5">
      <c r="A16" s="50" t="s">
        <v>144</v>
      </c>
      <c r="B16" s="58">
        <v>70000</v>
      </c>
    </row>
    <row r="17" spans="1:2">
      <c r="A17" s="50" t="s">
        <v>145</v>
      </c>
      <c r="B17" s="58">
        <v>45000</v>
      </c>
    </row>
    <row r="18" spans="1:2">
      <c r="A18" s="50" t="s">
        <v>146</v>
      </c>
      <c r="B18" s="58">
        <v>5000</v>
      </c>
    </row>
    <row r="19" spans="1:2">
      <c r="A19" s="50" t="s">
        <v>147</v>
      </c>
      <c r="B19" s="58">
        <v>5000</v>
      </c>
    </row>
    <row r="20" spans="1:2">
      <c r="A20" s="59" t="s">
        <v>148</v>
      </c>
      <c r="B20" s="60">
        <f>SUM(B6:B19)</f>
        <v>1025000</v>
      </c>
    </row>
    <row r="22" spans="1:2" ht="18.75" customHeight="1">
      <c r="A22" s="56" t="s">
        <v>149</v>
      </c>
      <c r="B22" s="57"/>
    </row>
    <row r="23" spans="1:2">
      <c r="A23" s="50" t="s">
        <v>135</v>
      </c>
      <c r="B23" s="58">
        <v>120000</v>
      </c>
    </row>
    <row r="24" spans="1:2">
      <c r="A24" s="50" t="s">
        <v>136</v>
      </c>
      <c r="B24" s="58">
        <v>350000</v>
      </c>
    </row>
    <row r="25" spans="1:2">
      <c r="A25" s="50" t="s">
        <v>138</v>
      </c>
      <c r="B25" s="58">
        <v>60000</v>
      </c>
    </row>
    <row r="26" spans="1:2">
      <c r="A26" s="50" t="s">
        <v>139</v>
      </c>
      <c r="B26" s="58">
        <v>10000</v>
      </c>
    </row>
    <row r="27" spans="1:2">
      <c r="A27" s="50" t="s">
        <v>142</v>
      </c>
      <c r="B27" s="58">
        <v>15000</v>
      </c>
    </row>
    <row r="28" spans="1:2">
      <c r="A28" s="50" t="s">
        <v>143</v>
      </c>
      <c r="B28" s="58">
        <v>85000</v>
      </c>
    </row>
    <row r="29" spans="1:2">
      <c r="A29" s="61" t="s">
        <v>144</v>
      </c>
      <c r="B29" s="62">
        <v>70000</v>
      </c>
    </row>
    <row r="30" spans="1:2">
      <c r="A30" s="59" t="s">
        <v>150</v>
      </c>
      <c r="B30" s="60">
        <f>SUM(B23:B29)</f>
        <v>710000</v>
      </c>
    </row>
    <row r="32" spans="1:2" ht="18.75" customHeight="1">
      <c r="A32" s="56" t="s">
        <v>151</v>
      </c>
      <c r="B32" s="57"/>
    </row>
    <row r="33" spans="1:2">
      <c r="A33" s="63" t="s">
        <v>152</v>
      </c>
      <c r="B33" s="64">
        <f>SUM(B34:B35)</f>
        <v>125000</v>
      </c>
    </row>
    <row r="34" spans="1:2">
      <c r="A34" s="50" t="s">
        <v>134</v>
      </c>
      <c r="B34" s="58">
        <v>80000</v>
      </c>
    </row>
    <row r="35" spans="1:2">
      <c r="A35" s="50" t="s">
        <v>145</v>
      </c>
      <c r="B35" s="58">
        <v>45000</v>
      </c>
    </row>
    <row r="36" spans="1:2">
      <c r="A36" s="65" t="s">
        <v>153</v>
      </c>
      <c r="B36" s="66">
        <f>SUM(B37:B40)</f>
        <v>140000</v>
      </c>
    </row>
    <row r="37" spans="1:2">
      <c r="A37" s="50" t="s">
        <v>137</v>
      </c>
      <c r="B37" s="58">
        <v>90000</v>
      </c>
    </row>
    <row r="38" spans="1:2">
      <c r="A38" s="50" t="s">
        <v>146</v>
      </c>
      <c r="B38" s="58">
        <v>5000</v>
      </c>
    </row>
    <row r="39" spans="1:2">
      <c r="A39" s="50" t="s">
        <v>147</v>
      </c>
      <c r="B39" s="58">
        <v>5000</v>
      </c>
    </row>
    <row r="40" spans="1:2">
      <c r="A40" s="50" t="s">
        <v>141</v>
      </c>
      <c r="B40" s="58">
        <v>40000</v>
      </c>
    </row>
    <row r="41" spans="1:2">
      <c r="A41" s="67" t="s">
        <v>140</v>
      </c>
      <c r="B41" s="68">
        <v>50000</v>
      </c>
    </row>
    <row r="42" spans="1:2">
      <c r="A42" s="59" t="s">
        <v>154</v>
      </c>
      <c r="B42" s="60">
        <f>B33+B36+B41</f>
        <v>315000</v>
      </c>
    </row>
    <row r="43" spans="1:2">
      <c r="B43" s="58"/>
    </row>
    <row r="44" spans="1:2" ht="19.5" customHeight="1">
      <c r="A44" s="52" t="s">
        <v>155</v>
      </c>
      <c r="B44" s="69"/>
    </row>
    <row r="45" spans="1:2" ht="17.25" customHeight="1">
      <c r="A45" s="70" t="s">
        <v>156</v>
      </c>
      <c r="B45" s="71"/>
    </row>
    <row r="46" spans="1:2" ht="17.25" customHeight="1">
      <c r="A46" s="72" t="s">
        <v>157</v>
      </c>
      <c r="B46" s="73"/>
    </row>
    <row r="47" spans="1:2" ht="17.25" customHeight="1">
      <c r="A47" s="74" t="s">
        <v>158</v>
      </c>
      <c r="B47" s="75"/>
    </row>
    <row r="48" spans="1:2" ht="18.75" customHeight="1">
      <c r="A48" s="76" t="s">
        <v>159</v>
      </c>
      <c r="B48" s="77"/>
    </row>
    <row r="49" spans="1:2">
      <c r="A49" s="78" t="s">
        <v>160</v>
      </c>
      <c r="B49" s="58">
        <v>75000</v>
      </c>
    </row>
    <row r="50" spans="1:2">
      <c r="A50" s="78" t="s">
        <v>161</v>
      </c>
      <c r="B50" s="58">
        <v>135000</v>
      </c>
    </row>
    <row r="51" spans="1:2">
      <c r="A51" s="79" t="s">
        <v>162</v>
      </c>
      <c r="B51" s="62">
        <v>140000</v>
      </c>
    </row>
    <row r="52" spans="1:2">
      <c r="A52" s="80" t="s">
        <v>163</v>
      </c>
      <c r="B52" s="60">
        <f>SUM(B49:B51)</f>
        <v>350000</v>
      </c>
    </row>
    <row r="53" spans="1:2">
      <c r="A53" s="80"/>
      <c r="B53" s="60"/>
    </row>
    <row r="54" spans="1:2" ht="18" customHeight="1">
      <c r="A54" s="76" t="s">
        <v>164</v>
      </c>
      <c r="B54" s="77"/>
    </row>
    <row r="55" spans="1:2" ht="18" customHeight="1">
      <c r="A55" s="81" t="s">
        <v>165</v>
      </c>
      <c r="B55" s="82">
        <v>30000</v>
      </c>
    </row>
    <row r="56" spans="1:2" ht="18" customHeight="1">
      <c r="A56" s="81" t="s">
        <v>166</v>
      </c>
      <c r="B56" s="82">
        <f>SUM(B57:B59)</f>
        <v>90000</v>
      </c>
    </row>
    <row r="57" spans="1:2">
      <c r="A57" s="78" t="s">
        <v>160</v>
      </c>
      <c r="B57" s="58">
        <v>22000</v>
      </c>
    </row>
    <row r="58" spans="1:2">
      <c r="A58" s="78" t="s">
        <v>161</v>
      </c>
      <c r="B58" s="58">
        <v>47000</v>
      </c>
    </row>
    <row r="59" spans="1:2">
      <c r="A59" s="79" t="s">
        <v>162</v>
      </c>
      <c r="B59" s="62">
        <v>21000</v>
      </c>
    </row>
    <row r="60" spans="1:2">
      <c r="A60" s="80" t="s">
        <v>167</v>
      </c>
      <c r="B60" s="60">
        <f>B55+B56</f>
        <v>120000</v>
      </c>
    </row>
    <row r="62" spans="1:2" ht="20.25" customHeight="1">
      <c r="A62" s="76" t="s">
        <v>168</v>
      </c>
      <c r="B62" s="77"/>
    </row>
    <row r="63" spans="1:2">
      <c r="A63" s="81" t="s">
        <v>165</v>
      </c>
      <c r="B63" s="82">
        <v>40000</v>
      </c>
    </row>
    <row r="64" spans="1:2">
      <c r="A64" s="81" t="s">
        <v>166</v>
      </c>
      <c r="B64" s="82">
        <f>SUM(B65:B67)</f>
        <v>45000</v>
      </c>
    </row>
    <row r="65" spans="1:6">
      <c r="A65" s="78" t="s">
        <v>160</v>
      </c>
      <c r="B65" s="58">
        <v>18000</v>
      </c>
    </row>
    <row r="66" spans="1:6">
      <c r="A66" s="78" t="s">
        <v>161</v>
      </c>
      <c r="B66" s="58">
        <v>20000</v>
      </c>
    </row>
    <row r="67" spans="1:6">
      <c r="A67" s="79" t="s">
        <v>162</v>
      </c>
      <c r="B67" s="62">
        <v>7000</v>
      </c>
    </row>
    <row r="68" spans="1:6">
      <c r="A68" s="80" t="s">
        <v>169</v>
      </c>
      <c r="B68" s="60">
        <f>B63+B64</f>
        <v>85000</v>
      </c>
    </row>
    <row r="72" spans="1:6">
      <c r="A72" s="83" t="s">
        <v>170</v>
      </c>
      <c r="B72" s="83"/>
      <c r="C72" s="53"/>
      <c r="D72" s="53"/>
      <c r="E72" s="53"/>
      <c r="F72" s="53"/>
    </row>
    <row r="73" spans="1:6" ht="14">
      <c r="A73" s="84" t="s">
        <v>171</v>
      </c>
      <c r="B73" s="85" t="s">
        <v>172</v>
      </c>
      <c r="C73" s="86"/>
      <c r="D73" s="86"/>
      <c r="E73" s="87" t="s">
        <v>173</v>
      </c>
      <c r="F73" s="87" t="s">
        <v>174</v>
      </c>
    </row>
    <row r="74" spans="1:6">
      <c r="A74" s="88"/>
      <c r="B74" s="89" t="s">
        <v>160</v>
      </c>
      <c r="C74" s="89" t="s">
        <v>161</v>
      </c>
      <c r="D74" s="90" t="s">
        <v>162</v>
      </c>
      <c r="E74" s="88"/>
      <c r="F74" s="88"/>
    </row>
    <row r="75" spans="1:6">
      <c r="A75" s="50" t="s">
        <v>159</v>
      </c>
      <c r="B75" s="58">
        <f>B49</f>
        <v>75000</v>
      </c>
      <c r="C75" s="58">
        <f>B50</f>
        <v>135000</v>
      </c>
      <c r="D75" s="58">
        <f>B51</f>
        <v>140000</v>
      </c>
      <c r="E75" s="91" t="s">
        <v>175</v>
      </c>
      <c r="F75" s="91">
        <f t="shared" ref="F75:F82" si="0">SUM(B75:E75)</f>
        <v>350000</v>
      </c>
    </row>
    <row r="76" spans="1:6">
      <c r="A76" s="50" t="s">
        <v>176</v>
      </c>
      <c r="B76" s="58">
        <f>B57</f>
        <v>22000</v>
      </c>
      <c r="C76" s="58">
        <f>B58</f>
        <v>47000</v>
      </c>
      <c r="D76" s="58">
        <f>B59</f>
        <v>21000</v>
      </c>
      <c r="E76" s="58">
        <f>B55</f>
        <v>30000</v>
      </c>
      <c r="F76" s="91">
        <f t="shared" si="0"/>
        <v>120000</v>
      </c>
    </row>
    <row r="77" spans="1:6">
      <c r="A77" s="50" t="s">
        <v>168</v>
      </c>
      <c r="B77" s="58">
        <f>B65</f>
        <v>18000</v>
      </c>
      <c r="C77" s="58">
        <f>B66</f>
        <v>20000</v>
      </c>
      <c r="D77" s="58">
        <f>B67</f>
        <v>7000</v>
      </c>
      <c r="E77" s="58">
        <f>B63</f>
        <v>40000</v>
      </c>
      <c r="F77" s="91">
        <f t="shared" si="0"/>
        <v>85000</v>
      </c>
    </row>
    <row r="78" spans="1:6">
      <c r="A78" s="50" t="s">
        <v>98</v>
      </c>
      <c r="B78" s="91" t="s">
        <v>175</v>
      </c>
      <c r="C78" s="91" t="s">
        <v>175</v>
      </c>
      <c r="D78" s="91" t="s">
        <v>175</v>
      </c>
      <c r="E78" s="58">
        <f>B25</f>
        <v>60000</v>
      </c>
      <c r="F78" s="91">
        <f t="shared" si="0"/>
        <v>60000</v>
      </c>
    </row>
    <row r="79" spans="1:6">
      <c r="A79" s="50" t="s">
        <v>177</v>
      </c>
      <c r="B79" s="91" t="s">
        <v>175</v>
      </c>
      <c r="C79" s="91" t="s">
        <v>175</v>
      </c>
      <c r="D79" s="91" t="s">
        <v>175</v>
      </c>
      <c r="E79" s="58">
        <f>B26</f>
        <v>10000</v>
      </c>
      <c r="F79" s="91">
        <f t="shared" si="0"/>
        <v>10000</v>
      </c>
    </row>
    <row r="80" spans="1:6">
      <c r="A80" s="50" t="s">
        <v>178</v>
      </c>
      <c r="B80" s="91" t="s">
        <v>175</v>
      </c>
      <c r="C80" s="91" t="s">
        <v>175</v>
      </c>
      <c r="D80" s="91" t="s">
        <v>175</v>
      </c>
      <c r="E80" s="58">
        <f>B27</f>
        <v>15000</v>
      </c>
      <c r="F80" s="91">
        <f t="shared" si="0"/>
        <v>15000</v>
      </c>
    </row>
    <row r="81" spans="1:6">
      <c r="A81" s="61" t="s">
        <v>179</v>
      </c>
      <c r="B81" s="92" t="s">
        <v>175</v>
      </c>
      <c r="C81" s="92" t="s">
        <v>175</v>
      </c>
      <c r="D81" s="92" t="s">
        <v>175</v>
      </c>
      <c r="E81" s="62">
        <f>B29</f>
        <v>70000</v>
      </c>
      <c r="F81" s="92">
        <f t="shared" si="0"/>
        <v>70000</v>
      </c>
    </row>
    <row r="82" spans="1:6">
      <c r="A82" s="59" t="s">
        <v>174</v>
      </c>
      <c r="B82" s="60">
        <f>SUM(B75:B81)</f>
        <v>115000</v>
      </c>
      <c r="C82" s="60">
        <f>SUM(C75:C81)</f>
        <v>202000</v>
      </c>
      <c r="D82" s="60">
        <f>SUM(D75:D81)</f>
        <v>168000</v>
      </c>
      <c r="E82" s="60">
        <f>SUM(E75:E81)</f>
        <v>225000</v>
      </c>
      <c r="F82" s="60">
        <f t="shared" si="0"/>
        <v>710000</v>
      </c>
    </row>
    <row r="83" spans="1:6">
      <c r="B83" s="58">
        <f>B82+C82+D82</f>
        <v>485000</v>
      </c>
    </row>
    <row r="84" spans="1:6" ht="21" customHeight="1">
      <c r="A84" s="52" t="s">
        <v>180</v>
      </c>
      <c r="B84" s="69"/>
    </row>
    <row r="85" spans="1:6">
      <c r="A85" s="70" t="s">
        <v>181</v>
      </c>
      <c r="B85" s="71"/>
    </row>
    <row r="86" spans="1:6">
      <c r="A86" s="72" t="s">
        <v>182</v>
      </c>
      <c r="B86" s="73"/>
    </row>
    <row r="87" spans="1:6">
      <c r="A87" s="74" t="s">
        <v>183</v>
      </c>
      <c r="B87" s="75"/>
    </row>
    <row r="88" spans="1:6">
      <c r="B88" s="93">
        <f>SUM(B89:B91)</f>
        <v>1</v>
      </c>
    </row>
    <row r="89" spans="1:6">
      <c r="A89" s="50" t="s">
        <v>160</v>
      </c>
      <c r="B89" s="94">
        <f>B82/($B$82+$C$82+$D$82)</f>
        <v>0.23711340206185566</v>
      </c>
    </row>
    <row r="90" spans="1:6">
      <c r="A90" s="50" t="s">
        <v>161</v>
      </c>
      <c r="B90" s="94">
        <f>C82/($B$82+$C$82+$D$82)</f>
        <v>0.41649484536082476</v>
      </c>
    </row>
    <row r="91" spans="1:6">
      <c r="A91" s="50" t="s">
        <v>162</v>
      </c>
      <c r="B91" s="94">
        <f>D82/($B$82+$C$82+$D$82)</f>
        <v>0.34639175257731958</v>
      </c>
    </row>
    <row r="93" spans="1:6">
      <c r="A93" s="50" t="s">
        <v>184</v>
      </c>
    </row>
    <row r="95" spans="1:6" ht="21" customHeight="1">
      <c r="A95" s="76" t="s">
        <v>185</v>
      </c>
      <c r="B95" s="77"/>
    </row>
    <row r="96" spans="1:6">
      <c r="A96" s="78" t="s">
        <v>160</v>
      </c>
      <c r="B96" s="58">
        <f>B89*$E$82</f>
        <v>53350.515463917523</v>
      </c>
    </row>
    <row r="97" spans="1:8">
      <c r="A97" s="78" t="s">
        <v>161</v>
      </c>
      <c r="B97" s="58">
        <f>B90*$E$82</f>
        <v>93711.340206185574</v>
      </c>
    </row>
    <row r="98" spans="1:8">
      <c r="A98" s="79" t="s">
        <v>162</v>
      </c>
      <c r="B98" s="62">
        <f>B91*$E$82</f>
        <v>77938.14432989691</v>
      </c>
    </row>
    <row r="99" spans="1:8">
      <c r="A99" s="80" t="s">
        <v>186</v>
      </c>
      <c r="B99" s="60">
        <f>SUM(B96:B98)</f>
        <v>225000</v>
      </c>
    </row>
    <row r="101" spans="1:8">
      <c r="A101" s="83" t="s">
        <v>170</v>
      </c>
      <c r="B101" s="83"/>
      <c r="C101" s="53"/>
      <c r="D101" s="53"/>
      <c r="E101" s="78"/>
      <c r="F101" s="78"/>
      <c r="G101" s="95"/>
      <c r="H101" s="95"/>
    </row>
    <row r="102" spans="1:8">
      <c r="A102" s="84" t="s">
        <v>171</v>
      </c>
      <c r="B102" s="305" t="s">
        <v>187</v>
      </c>
      <c r="C102" s="306"/>
      <c r="D102" s="307"/>
      <c r="E102" s="96"/>
      <c r="F102" s="96"/>
      <c r="G102" s="96"/>
      <c r="H102" s="95"/>
    </row>
    <row r="103" spans="1:8">
      <c r="A103" s="88"/>
      <c r="B103" s="89" t="s">
        <v>160</v>
      </c>
      <c r="C103" s="89" t="s">
        <v>161</v>
      </c>
      <c r="D103" s="89" t="s">
        <v>162</v>
      </c>
      <c r="E103" s="97"/>
      <c r="F103" s="97"/>
      <c r="G103" s="98"/>
      <c r="H103" s="95"/>
    </row>
    <row r="104" spans="1:8">
      <c r="A104" s="50" t="s">
        <v>159</v>
      </c>
      <c r="B104" s="58">
        <f t="shared" ref="B104:D106" si="1">B75</f>
        <v>75000</v>
      </c>
      <c r="C104" s="58">
        <f t="shared" si="1"/>
        <v>135000</v>
      </c>
      <c r="D104" s="58">
        <f t="shared" si="1"/>
        <v>140000</v>
      </c>
      <c r="E104" s="99"/>
      <c r="F104" s="99"/>
      <c r="G104" s="95"/>
      <c r="H104" s="95"/>
    </row>
    <row r="105" spans="1:8">
      <c r="A105" s="50" t="s">
        <v>188</v>
      </c>
      <c r="B105" s="58">
        <f t="shared" si="1"/>
        <v>22000</v>
      </c>
      <c r="C105" s="58">
        <f t="shared" si="1"/>
        <v>47000</v>
      </c>
      <c r="D105" s="58">
        <f t="shared" si="1"/>
        <v>21000</v>
      </c>
      <c r="E105" s="100"/>
      <c r="F105" s="99"/>
      <c r="G105" s="95"/>
      <c r="H105" s="95"/>
    </row>
    <row r="106" spans="1:8">
      <c r="A106" s="50" t="s">
        <v>168</v>
      </c>
      <c r="B106" s="58">
        <f t="shared" si="1"/>
        <v>18000</v>
      </c>
      <c r="C106" s="58">
        <f t="shared" si="1"/>
        <v>20000</v>
      </c>
      <c r="D106" s="58">
        <f t="shared" si="1"/>
        <v>7000</v>
      </c>
      <c r="E106" s="100"/>
      <c r="F106" s="99"/>
      <c r="G106" s="95"/>
      <c r="H106" s="95"/>
    </row>
    <row r="107" spans="1:8">
      <c r="A107" s="61" t="s">
        <v>189</v>
      </c>
      <c r="B107" s="92">
        <f>B96</f>
        <v>53350.515463917523</v>
      </c>
      <c r="C107" s="92">
        <f>B97</f>
        <v>93711.340206185574</v>
      </c>
      <c r="D107" s="92">
        <f>B98</f>
        <v>77938.14432989691</v>
      </c>
      <c r="E107" s="100"/>
      <c r="F107" s="99"/>
      <c r="G107" s="95"/>
      <c r="H107" s="95"/>
    </row>
    <row r="108" spans="1:8">
      <c r="A108" s="59" t="s">
        <v>150</v>
      </c>
      <c r="B108" s="60">
        <f>SUM(B104:B107)</f>
        <v>168350.51546391752</v>
      </c>
      <c r="C108" s="60">
        <f>SUM(C104:C107)</f>
        <v>295711.34020618559</v>
      </c>
      <c r="D108" s="60">
        <f>SUM(D104:D107)</f>
        <v>245938.1443298969</v>
      </c>
      <c r="E108" s="101">
        <f>SUM(B108:D108)</f>
        <v>710000</v>
      </c>
      <c r="F108" s="101"/>
      <c r="G108" s="95"/>
      <c r="H108" s="95"/>
    </row>
    <row r="109" spans="1:8">
      <c r="E109" s="95"/>
      <c r="F109" s="95"/>
      <c r="G109" s="95"/>
      <c r="H109" s="95"/>
    </row>
    <row r="110" spans="1:8" ht="24.75" customHeight="1">
      <c r="A110" s="52" t="s">
        <v>190</v>
      </c>
      <c r="B110" s="69"/>
      <c r="F110" s="95"/>
      <c r="G110" s="95"/>
      <c r="H110" s="95"/>
    </row>
    <row r="111" spans="1:8">
      <c r="A111" s="70" t="s">
        <v>181</v>
      </c>
      <c r="B111" s="71"/>
      <c r="F111" s="95"/>
      <c r="G111" s="95"/>
      <c r="H111" s="95"/>
    </row>
    <row r="112" spans="1:8">
      <c r="A112" s="72" t="s">
        <v>191</v>
      </c>
      <c r="B112" s="73"/>
      <c r="F112" s="95"/>
      <c r="G112" s="95"/>
      <c r="H112" s="95"/>
    </row>
    <row r="113" spans="1:8">
      <c r="A113" s="74" t="s">
        <v>183</v>
      </c>
      <c r="B113" s="75"/>
      <c r="F113" s="95"/>
      <c r="G113" s="95"/>
      <c r="H113" s="95"/>
    </row>
    <row r="114" spans="1:8">
      <c r="B114" s="93">
        <f>SUM(B115:B117)</f>
        <v>1</v>
      </c>
      <c r="F114" s="95"/>
      <c r="G114" s="95"/>
      <c r="H114" s="95"/>
    </row>
    <row r="115" spans="1:8">
      <c r="A115" s="50" t="s">
        <v>160</v>
      </c>
      <c r="B115" s="94">
        <f>B108/$E$108</f>
        <v>0.23711340206185566</v>
      </c>
      <c r="F115" s="95"/>
      <c r="G115" s="95"/>
      <c r="H115" s="95"/>
    </row>
    <row r="116" spans="1:8">
      <c r="A116" s="50" t="s">
        <v>161</v>
      </c>
      <c r="B116" s="94">
        <f>C108/$E$108</f>
        <v>0.41649484536082476</v>
      </c>
      <c r="F116" s="95"/>
      <c r="G116" s="95"/>
      <c r="H116" s="95"/>
    </row>
    <row r="117" spans="1:8">
      <c r="A117" s="50" t="s">
        <v>162</v>
      </c>
      <c r="B117" s="94">
        <f>D108/$E$108</f>
        <v>0.34639175257731958</v>
      </c>
      <c r="F117" s="95"/>
      <c r="G117" s="95"/>
      <c r="H117" s="95"/>
    </row>
    <row r="118" spans="1:8">
      <c r="F118" s="95"/>
      <c r="G118" s="95"/>
      <c r="H118" s="95"/>
    </row>
    <row r="119" spans="1:8">
      <c r="A119" s="50" t="s">
        <v>184</v>
      </c>
    </row>
    <row r="121" spans="1:8" ht="16.5" customHeight="1">
      <c r="A121" s="76" t="s">
        <v>151</v>
      </c>
      <c r="B121" s="77"/>
    </row>
    <row r="122" spans="1:8">
      <c r="A122" s="78" t="s">
        <v>160</v>
      </c>
      <c r="B122" s="58">
        <f>B115*$B$42</f>
        <v>74690.721649484534</v>
      </c>
    </row>
    <row r="123" spans="1:8">
      <c r="A123" s="78" t="s">
        <v>161</v>
      </c>
      <c r="B123" s="58">
        <f>B116*$B$42</f>
        <v>131195.87628865981</v>
      </c>
    </row>
    <row r="124" spans="1:8">
      <c r="A124" s="79" t="s">
        <v>162</v>
      </c>
      <c r="B124" s="62">
        <f>B117*$B$42</f>
        <v>109113.40206185567</v>
      </c>
    </row>
    <row r="125" spans="1:8">
      <c r="A125" s="80" t="s">
        <v>154</v>
      </c>
      <c r="B125" s="60">
        <f>SUM(B122:B124)</f>
        <v>315000</v>
      </c>
    </row>
    <row r="127" spans="1:8">
      <c r="A127" s="83" t="s">
        <v>170</v>
      </c>
      <c r="B127" s="83"/>
      <c r="C127" s="53"/>
      <c r="D127" s="53"/>
      <c r="E127" s="78"/>
    </row>
    <row r="128" spans="1:8">
      <c r="A128" s="84" t="s">
        <v>192</v>
      </c>
      <c r="B128" s="305" t="s">
        <v>187</v>
      </c>
      <c r="C128" s="306"/>
      <c r="D128" s="307"/>
      <c r="E128" s="96"/>
    </row>
    <row r="129" spans="1:6">
      <c r="A129" s="88"/>
      <c r="B129" s="89" t="s">
        <v>160</v>
      </c>
      <c r="C129" s="89" t="s">
        <v>161</v>
      </c>
      <c r="D129" s="89" t="s">
        <v>162</v>
      </c>
      <c r="E129" s="97"/>
    </row>
    <row r="130" spans="1:6">
      <c r="A130" s="50" t="s">
        <v>159</v>
      </c>
      <c r="B130" s="58">
        <f t="shared" ref="B130:D133" si="2">B104</f>
        <v>75000</v>
      </c>
      <c r="C130" s="58">
        <f t="shared" si="2"/>
        <v>135000</v>
      </c>
      <c r="D130" s="58">
        <f t="shared" si="2"/>
        <v>140000</v>
      </c>
      <c r="E130" s="99"/>
    </row>
    <row r="131" spans="1:6">
      <c r="A131" s="50" t="s">
        <v>188</v>
      </c>
      <c r="B131" s="58">
        <f t="shared" si="2"/>
        <v>22000</v>
      </c>
      <c r="C131" s="58">
        <f t="shared" si="2"/>
        <v>47000</v>
      </c>
      <c r="D131" s="58">
        <f t="shared" si="2"/>
        <v>21000</v>
      </c>
      <c r="E131" s="100"/>
    </row>
    <row r="132" spans="1:6">
      <c r="A132" s="50" t="s">
        <v>168</v>
      </c>
      <c r="B132" s="58">
        <f t="shared" si="2"/>
        <v>18000</v>
      </c>
      <c r="C132" s="58">
        <f t="shared" si="2"/>
        <v>20000</v>
      </c>
      <c r="D132" s="58">
        <f t="shared" si="2"/>
        <v>7000</v>
      </c>
      <c r="E132" s="100"/>
    </row>
    <row r="133" spans="1:6">
      <c r="A133" s="50" t="s">
        <v>189</v>
      </c>
      <c r="B133" s="58">
        <f t="shared" si="2"/>
        <v>53350.515463917523</v>
      </c>
      <c r="C133" s="58">
        <f t="shared" si="2"/>
        <v>93711.340206185574</v>
      </c>
      <c r="D133" s="58">
        <f t="shared" si="2"/>
        <v>77938.14432989691</v>
      </c>
      <c r="E133" s="100"/>
    </row>
    <row r="134" spans="1:6">
      <c r="A134" s="61" t="s">
        <v>151</v>
      </c>
      <c r="B134" s="92">
        <f>B122</f>
        <v>74690.721649484534</v>
      </c>
      <c r="C134" s="92">
        <f>B123</f>
        <v>131195.87628865981</v>
      </c>
      <c r="D134" s="92">
        <f>B124</f>
        <v>109113.40206185567</v>
      </c>
      <c r="E134" s="100"/>
    </row>
    <row r="135" spans="1:6">
      <c r="A135" s="59" t="s">
        <v>148</v>
      </c>
      <c r="B135" s="60">
        <f>SUM(B130:B134)</f>
        <v>243041.23711340205</v>
      </c>
      <c r="C135" s="60">
        <f>SUM(C130:C134)</f>
        <v>426907.2164948454</v>
      </c>
      <c r="D135" s="60">
        <f>SUM(D130:D134)</f>
        <v>355051.54639175255</v>
      </c>
      <c r="E135" s="101">
        <f>SUM(B135:D135)</f>
        <v>1025000</v>
      </c>
      <c r="F135" s="102"/>
    </row>
    <row r="136" spans="1:6">
      <c r="A136" s="80"/>
      <c r="B136" s="60"/>
      <c r="C136" s="60"/>
      <c r="D136" s="60"/>
      <c r="E136" s="103"/>
      <c r="F136" s="102"/>
    </row>
    <row r="137" spans="1:6" ht="16">
      <c r="A137" s="52" t="s">
        <v>193</v>
      </c>
      <c r="B137" s="104"/>
      <c r="C137" s="60"/>
      <c r="D137" s="60"/>
      <c r="E137" s="103"/>
      <c r="F137" s="102"/>
    </row>
    <row r="138" spans="1:6">
      <c r="A138" s="50" t="s">
        <v>192</v>
      </c>
      <c r="B138" s="50" t="s">
        <v>194</v>
      </c>
      <c r="E138" s="58"/>
    </row>
    <row r="139" spans="1:6">
      <c r="A139" s="50" t="s">
        <v>195</v>
      </c>
      <c r="B139" s="50" t="s">
        <v>196</v>
      </c>
    </row>
    <row r="140" spans="1:6">
      <c r="A140" s="50" t="s">
        <v>197</v>
      </c>
      <c r="B140" s="50" t="s">
        <v>198</v>
      </c>
    </row>
    <row r="141" spans="1:6">
      <c r="A141" s="50" t="s">
        <v>199</v>
      </c>
      <c r="B141" s="50" t="s">
        <v>200</v>
      </c>
    </row>
    <row r="143" spans="1:6">
      <c r="A143" s="50" t="s">
        <v>201</v>
      </c>
    </row>
    <row r="145" spans="1:3">
      <c r="A145" s="50" t="s">
        <v>202</v>
      </c>
    </row>
    <row r="147" spans="1:3">
      <c r="A147" s="50" t="s">
        <v>203</v>
      </c>
    </row>
    <row r="148" spans="1:3">
      <c r="A148" s="50" t="s">
        <v>204</v>
      </c>
      <c r="B148" s="50">
        <f>1/(1-0.1-0.2)</f>
        <v>1.4285714285714286</v>
      </c>
    </row>
    <row r="150" spans="1:3">
      <c r="A150" s="50" t="s">
        <v>205</v>
      </c>
    </row>
    <row r="153" spans="1:3">
      <c r="A153" s="50" t="s">
        <v>206</v>
      </c>
    </row>
    <row r="154" spans="1:3">
      <c r="A154" s="50" t="s">
        <v>207</v>
      </c>
      <c r="B154" s="58">
        <f>1/(1-0.2-0.1)*B135</f>
        <v>347201.76730486</v>
      </c>
      <c r="C154" s="58"/>
    </row>
    <row r="155" spans="1:3">
      <c r="A155" s="50" t="s">
        <v>208</v>
      </c>
      <c r="B155" s="58">
        <f>1/(1-0.2-0.1)*C135</f>
        <v>609867.4521354934</v>
      </c>
      <c r="C155" s="58"/>
    </row>
    <row r="156" spans="1:3">
      <c r="A156" s="50" t="s">
        <v>209</v>
      </c>
      <c r="B156" s="58">
        <f>1/(1-0.2-0.1)*D135</f>
        <v>507216.49484536069</v>
      </c>
      <c r="C156" s="58"/>
    </row>
    <row r="158" spans="1:3">
      <c r="A158" s="50" t="s">
        <v>210</v>
      </c>
      <c r="B158" s="58"/>
    </row>
    <row r="159" spans="1:3">
      <c r="A159" s="50" t="s">
        <v>211</v>
      </c>
      <c r="B159" s="105">
        <f>B154/2000</f>
        <v>173.60088365242999</v>
      </c>
      <c r="C159" s="50">
        <f>B159*2000</f>
        <v>347201.76730486</v>
      </c>
    </row>
    <row r="160" spans="1:3">
      <c r="A160" s="50" t="s">
        <v>212</v>
      </c>
      <c r="B160" s="105">
        <f>B155/3000</f>
        <v>203.28915071183113</v>
      </c>
    </row>
    <row r="161" spans="1:7">
      <c r="A161" s="50" t="s">
        <v>213</v>
      </c>
      <c r="B161" s="106">
        <f>B156/2600</f>
        <v>195.08326724821566</v>
      </c>
    </row>
    <row r="163" spans="1:7">
      <c r="A163" s="83" t="s">
        <v>170</v>
      </c>
      <c r="B163" s="83"/>
      <c r="C163" s="53"/>
      <c r="D163" s="53"/>
      <c r="E163" s="53"/>
      <c r="F163" s="53"/>
      <c r="G163" s="53"/>
    </row>
    <row r="164" spans="1:7">
      <c r="A164" s="88" t="s">
        <v>214</v>
      </c>
      <c r="B164" s="89" t="s">
        <v>160</v>
      </c>
      <c r="C164" s="89" t="s">
        <v>215</v>
      </c>
      <c r="D164" s="89" t="s">
        <v>161</v>
      </c>
      <c r="E164" s="89" t="s">
        <v>215</v>
      </c>
      <c r="F164" s="89" t="s">
        <v>162</v>
      </c>
      <c r="G164" s="89" t="s">
        <v>215</v>
      </c>
    </row>
    <row r="165" spans="1:7">
      <c r="A165" s="78" t="s">
        <v>216</v>
      </c>
      <c r="B165" s="99">
        <f>B154</f>
        <v>347201.76730486</v>
      </c>
      <c r="C165" s="107">
        <f>B165/$B$165</f>
        <v>1</v>
      </c>
      <c r="D165" s="99">
        <f>B155</f>
        <v>609867.4521354934</v>
      </c>
      <c r="E165" s="107">
        <f>D165/$D$165</f>
        <v>1</v>
      </c>
      <c r="F165" s="58">
        <f>B156</f>
        <v>507216.49484536069</v>
      </c>
      <c r="G165" s="107">
        <f>F165/$F$165</f>
        <v>1</v>
      </c>
    </row>
    <row r="166" spans="1:7">
      <c r="A166" s="78" t="s">
        <v>217</v>
      </c>
      <c r="B166" s="99">
        <f>-(0.2*B165)</f>
        <v>-69440.353460972008</v>
      </c>
      <c r="C166" s="107">
        <f>B166/$B$165</f>
        <v>-0.20000000000000004</v>
      </c>
      <c r="D166" s="99">
        <f>-(0.2*D165)</f>
        <v>-121973.49042709869</v>
      </c>
      <c r="E166" s="107">
        <f>D166/$D$165</f>
        <v>-0.2</v>
      </c>
      <c r="F166" s="99">
        <f>-(0.2*F165)</f>
        <v>-101443.29896907214</v>
      </c>
      <c r="G166" s="107">
        <f>F166/$F$165</f>
        <v>-0.2</v>
      </c>
    </row>
    <row r="167" spans="1:7">
      <c r="A167" s="50" t="s">
        <v>218</v>
      </c>
      <c r="B167" s="58">
        <f>-B108</f>
        <v>-168350.51546391752</v>
      </c>
      <c r="C167" s="108">
        <f>B167/$B$165</f>
        <v>-0.4848780487804879</v>
      </c>
      <c r="D167" s="58">
        <f>-C108</f>
        <v>-295711.34020618559</v>
      </c>
      <c r="E167" s="108">
        <f>D167/$D$165</f>
        <v>-0.48487804878048785</v>
      </c>
      <c r="F167" s="58">
        <f>-D108</f>
        <v>-245938.1443298969</v>
      </c>
      <c r="G167" s="107">
        <f>F167/$F$165</f>
        <v>-0.4848780487804879</v>
      </c>
    </row>
    <row r="168" spans="1:7">
      <c r="A168" s="61" t="s">
        <v>219</v>
      </c>
      <c r="B168" s="62">
        <f>-B134</f>
        <v>-74690.721649484534</v>
      </c>
      <c r="C168" s="109">
        <f>B168/$B$165</f>
        <v>-0.21512195121951225</v>
      </c>
      <c r="D168" s="62">
        <f>-C134</f>
        <v>-131195.87628865981</v>
      </c>
      <c r="E168" s="109">
        <f>D168/$D$165</f>
        <v>-0.21512195121951222</v>
      </c>
      <c r="F168" s="62">
        <f>-D134</f>
        <v>-109113.40206185567</v>
      </c>
      <c r="G168" s="109">
        <f>F168/$F$165</f>
        <v>-0.21512195121951225</v>
      </c>
    </row>
    <row r="169" spans="1:7">
      <c r="A169" s="50" t="s">
        <v>220</v>
      </c>
      <c r="B169" s="58">
        <f>SUM(B165:B168)</f>
        <v>34720.176730485924</v>
      </c>
      <c r="C169" s="107">
        <f>B169/$B$165</f>
        <v>9.9999999999999784E-2</v>
      </c>
      <c r="D169" s="58">
        <f>SUM(D165:D168)</f>
        <v>60986.745213549293</v>
      </c>
      <c r="E169" s="107">
        <f>D169/$D$165</f>
        <v>9.9999999999999922E-2</v>
      </c>
      <c r="F169" s="58">
        <f>SUM(F165:F168)</f>
        <v>50721.649484536014</v>
      </c>
      <c r="G169" s="107">
        <f>F169/$F$165</f>
        <v>9.9999999999999895E-2</v>
      </c>
    </row>
    <row r="170" spans="1:7">
      <c r="B170" s="110">
        <f>B169/B165</f>
        <v>9.9999999999999784E-2</v>
      </c>
    </row>
  </sheetData>
  <mergeCells count="2">
    <mergeCell ref="B102:D102"/>
    <mergeCell ref="B128:D128"/>
  </mergeCells>
  <pageMargins left="0.78740157499999996" right="0.78740157499999996" top="0.984251969" bottom="0.984251969" header="0.49212598499999999" footer="0.49212598499999999"/>
  <pageSetup orientation="landscape" horizontalDpi="1200" verticalDpi="1200"/>
  <headerFooter alignWithMargins="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1"/>
  <sheetViews>
    <sheetView showGridLines="0" zoomScale="150" zoomScaleNormal="150" workbookViewId="0">
      <selection activeCell="J17" sqref="J17"/>
    </sheetView>
  </sheetViews>
  <sheetFormatPr baseColWidth="10" defaultColWidth="9.1640625" defaultRowHeight="13"/>
  <cols>
    <col min="1" max="1" width="11.33203125" style="50" customWidth="1"/>
    <col min="2" max="2" width="15.6640625" style="50" customWidth="1"/>
    <col min="3" max="4" width="13.5" style="50" customWidth="1"/>
    <col min="5" max="5" width="11.5" style="50" customWidth="1"/>
    <col min="6" max="6" width="9.33203125" style="50" customWidth="1"/>
    <col min="7" max="16384" width="9.1640625" style="50"/>
  </cols>
  <sheetData>
    <row r="1" spans="1:10" ht="27.75" customHeight="1">
      <c r="A1" s="48" t="s">
        <v>221</v>
      </c>
      <c r="B1" s="49"/>
      <c r="C1" s="49"/>
      <c r="D1" s="49"/>
      <c r="E1" s="49"/>
      <c r="F1" s="49"/>
      <c r="G1" s="49"/>
      <c r="H1" s="49"/>
      <c r="I1" s="49"/>
    </row>
    <row r="2" spans="1:10">
      <c r="A2" s="50" t="s">
        <v>222</v>
      </c>
    </row>
    <row r="4" spans="1:10">
      <c r="A4" s="50" t="s">
        <v>223</v>
      </c>
    </row>
    <row r="5" spans="1:10">
      <c r="A5" s="95" t="s">
        <v>224</v>
      </c>
      <c r="B5" s="95"/>
      <c r="C5" s="95"/>
      <c r="D5" s="95"/>
      <c r="E5" s="95"/>
      <c r="F5" s="95"/>
      <c r="G5" s="95"/>
      <c r="H5" s="95"/>
      <c r="I5" s="95"/>
      <c r="J5" s="95"/>
    </row>
    <row r="6" spans="1:10">
      <c r="A6" s="78" t="s">
        <v>225</v>
      </c>
      <c r="B6" s="95"/>
      <c r="C6" s="95"/>
      <c r="D6" s="95"/>
      <c r="E6" s="95"/>
      <c r="F6" s="95"/>
      <c r="G6" s="95"/>
      <c r="H6" s="95"/>
      <c r="I6" s="95"/>
      <c r="J6" s="95"/>
    </row>
    <row r="7" spans="1:10">
      <c r="A7" s="78" t="s">
        <v>226</v>
      </c>
      <c r="B7" s="95"/>
      <c r="C7" s="95"/>
      <c r="D7" s="95"/>
      <c r="E7" s="95"/>
      <c r="F7" s="95"/>
      <c r="G7" s="95"/>
      <c r="H7" s="95"/>
      <c r="I7" s="95"/>
      <c r="J7" s="95"/>
    </row>
    <row r="8" spans="1:10">
      <c r="A8" s="95"/>
      <c r="B8" s="95"/>
      <c r="C8" s="95"/>
      <c r="D8" s="95"/>
      <c r="E8" s="95"/>
      <c r="F8" s="95"/>
      <c r="G8" s="95"/>
      <c r="H8" s="95"/>
      <c r="I8" s="95"/>
      <c r="J8" s="95"/>
    </row>
    <row r="9" spans="1:10">
      <c r="A9" s="78" t="s">
        <v>227</v>
      </c>
      <c r="B9" s="100"/>
      <c r="C9" s="95"/>
      <c r="D9" s="95"/>
      <c r="E9" s="95"/>
      <c r="F9" s="95"/>
      <c r="G9" s="95"/>
      <c r="H9" s="95"/>
      <c r="I9" s="95"/>
      <c r="J9" s="95"/>
    </row>
    <row r="10" spans="1:10">
      <c r="A10" s="95"/>
      <c r="B10" s="100"/>
      <c r="C10" s="95"/>
      <c r="D10" s="95"/>
      <c r="E10" s="95"/>
      <c r="F10" s="95"/>
      <c r="G10" s="95"/>
      <c r="H10" s="95"/>
      <c r="I10" s="95"/>
      <c r="J10" s="95"/>
    </row>
    <row r="11" spans="1:10">
      <c r="A11" s="78" t="s">
        <v>228</v>
      </c>
      <c r="B11" s="100"/>
      <c r="C11" s="95"/>
      <c r="D11" s="95"/>
      <c r="E11" s="95"/>
      <c r="F11" s="95"/>
      <c r="G11" s="95"/>
      <c r="H11" s="95"/>
      <c r="I11" s="95"/>
      <c r="J11" s="95"/>
    </row>
    <row r="12" spans="1:10">
      <c r="A12" s="78" t="s">
        <v>229</v>
      </c>
      <c r="G12" s="95"/>
      <c r="H12" s="95"/>
      <c r="I12" s="95"/>
      <c r="J12" s="95"/>
    </row>
    <row r="13" spans="1:10">
      <c r="A13" s="78"/>
      <c r="B13" s="95"/>
      <c r="C13" s="95"/>
      <c r="D13" s="95"/>
      <c r="E13" s="95"/>
      <c r="F13" s="95"/>
      <c r="G13" s="95"/>
      <c r="H13" s="95"/>
      <c r="I13" s="95"/>
      <c r="J13" s="95"/>
    </row>
    <row r="14" spans="1:10">
      <c r="B14" s="95"/>
      <c r="C14" s="95"/>
      <c r="D14" s="95"/>
      <c r="F14" s="95"/>
      <c r="G14" s="95"/>
      <c r="H14" s="95"/>
      <c r="I14" s="95"/>
      <c r="J14" s="95"/>
    </row>
    <row r="15" spans="1:10">
      <c r="A15" s="95" t="s">
        <v>230</v>
      </c>
      <c r="B15" s="97"/>
      <c r="C15" s="97"/>
      <c r="D15" s="97"/>
      <c r="E15" s="100">
        <f>1400000/2500</f>
        <v>560</v>
      </c>
      <c r="F15" s="95"/>
      <c r="G15" s="95"/>
      <c r="H15" s="95"/>
      <c r="I15" s="95"/>
      <c r="J15" s="95"/>
    </row>
    <row r="16" spans="1:10">
      <c r="A16" s="78" t="s">
        <v>231</v>
      </c>
      <c r="B16" s="111"/>
      <c r="C16" s="111"/>
      <c r="D16" s="111"/>
      <c r="E16" s="100">
        <v>400</v>
      </c>
      <c r="F16" s="95"/>
      <c r="G16" s="95"/>
      <c r="H16" s="95"/>
      <c r="I16" s="95"/>
      <c r="J16" s="95"/>
    </row>
    <row r="17" spans="1:10">
      <c r="A17" s="78" t="s">
        <v>232</v>
      </c>
      <c r="B17" s="111"/>
      <c r="C17" s="111"/>
      <c r="D17" s="111"/>
      <c r="E17" s="100">
        <f>1200000/2500</f>
        <v>480</v>
      </c>
      <c r="F17" s="95"/>
      <c r="G17" s="95"/>
      <c r="H17" s="95"/>
      <c r="I17" s="95"/>
      <c r="J17" s="95"/>
    </row>
    <row r="18" spans="1:10">
      <c r="A18" s="79" t="s">
        <v>233</v>
      </c>
      <c r="B18" s="62"/>
      <c r="C18" s="62"/>
      <c r="D18" s="62"/>
      <c r="E18" s="62">
        <f>1000000/2500</f>
        <v>400</v>
      </c>
      <c r="F18" s="95"/>
      <c r="G18" s="95"/>
      <c r="H18" s="95"/>
      <c r="I18" s="95"/>
      <c r="J18" s="95"/>
    </row>
    <row r="19" spans="1:10">
      <c r="A19" s="112" t="s">
        <v>234</v>
      </c>
      <c r="B19" s="100"/>
      <c r="C19" s="100"/>
      <c r="D19" s="100"/>
      <c r="E19" s="101">
        <f>SUM(E15:E18)</f>
        <v>1840</v>
      </c>
      <c r="F19" s="95"/>
      <c r="G19" s="95"/>
      <c r="H19" s="95"/>
      <c r="I19" s="95"/>
      <c r="J19" s="95"/>
    </row>
    <row r="20" spans="1:10">
      <c r="A20" s="95"/>
      <c r="B20" s="100"/>
      <c r="C20" s="100"/>
      <c r="D20" s="100"/>
      <c r="E20" s="95"/>
      <c r="F20" s="95"/>
      <c r="G20" s="95"/>
      <c r="H20" s="95"/>
      <c r="I20" s="95"/>
      <c r="J20" s="95"/>
    </row>
    <row r="21" spans="1:10">
      <c r="A21" s="78" t="s">
        <v>235</v>
      </c>
      <c r="B21" s="100"/>
      <c r="C21" s="100"/>
      <c r="D21" s="100"/>
      <c r="E21" s="95"/>
      <c r="F21" s="95"/>
      <c r="G21" s="95"/>
      <c r="H21" s="95"/>
      <c r="I21" s="95"/>
      <c r="J21" s="95"/>
    </row>
    <row r="22" spans="1:10">
      <c r="A22" s="78" t="s">
        <v>236</v>
      </c>
      <c r="B22" s="100"/>
      <c r="C22" s="100"/>
      <c r="D22" s="100"/>
      <c r="E22" s="95"/>
      <c r="F22" s="95"/>
      <c r="G22" s="95"/>
      <c r="H22" s="95"/>
      <c r="I22" s="95"/>
      <c r="J22" s="95"/>
    </row>
    <row r="23" spans="1:10">
      <c r="A23" s="95"/>
      <c r="B23" s="100"/>
      <c r="C23" s="100"/>
      <c r="D23" s="100"/>
      <c r="E23" s="95"/>
      <c r="F23" s="95"/>
      <c r="G23" s="95"/>
      <c r="H23" s="95"/>
      <c r="I23" s="95"/>
      <c r="J23" s="95"/>
    </row>
    <row r="24" spans="1:10">
      <c r="A24" s="78" t="s">
        <v>237</v>
      </c>
      <c r="B24" s="100"/>
      <c r="C24" s="100"/>
      <c r="D24" s="100"/>
      <c r="E24" s="100">
        <v>96000</v>
      </c>
      <c r="F24" s="100">
        <f>E24</f>
        <v>96000</v>
      </c>
      <c r="G24" s="95"/>
      <c r="H24" s="95"/>
      <c r="I24" s="95"/>
      <c r="J24" s="95"/>
    </row>
    <row r="25" spans="1:10">
      <c r="A25" s="78" t="s">
        <v>238</v>
      </c>
      <c r="B25" s="100"/>
      <c r="C25" s="100"/>
      <c r="D25" s="100"/>
      <c r="E25" s="95">
        <v>50</v>
      </c>
      <c r="F25" s="95">
        <f>E25*1840</f>
        <v>92000</v>
      </c>
      <c r="G25" s="95"/>
      <c r="H25" s="95"/>
      <c r="I25" s="95"/>
      <c r="J25" s="95"/>
    </row>
    <row r="26" spans="1:10">
      <c r="A26" s="95"/>
      <c r="B26" s="100"/>
      <c r="C26" s="100"/>
      <c r="D26" s="100"/>
      <c r="E26" s="95"/>
      <c r="F26" s="100">
        <f>F24+F25</f>
        <v>188000</v>
      </c>
      <c r="G26" s="95">
        <f>F26/0.8</f>
        <v>235000</v>
      </c>
      <c r="H26" s="100">
        <f>G26-F26</f>
        <v>47000</v>
      </c>
      <c r="I26" s="95"/>
      <c r="J26" s="95"/>
    </row>
    <row r="27" spans="1:10">
      <c r="A27" s="78" t="s">
        <v>239</v>
      </c>
      <c r="B27" s="100"/>
      <c r="C27" s="100"/>
      <c r="D27" s="100"/>
      <c r="E27" s="95"/>
      <c r="F27" s="95"/>
      <c r="G27" s="95"/>
      <c r="H27" s="95"/>
      <c r="I27" s="95"/>
      <c r="J27" s="95"/>
    </row>
    <row r="28" spans="1:10">
      <c r="A28" s="95"/>
      <c r="B28" s="100"/>
      <c r="C28" s="100"/>
      <c r="D28" s="100"/>
      <c r="E28" s="95"/>
      <c r="F28" s="95"/>
      <c r="G28" s="95"/>
      <c r="H28" s="95"/>
      <c r="I28" s="95"/>
      <c r="J28" s="95"/>
    </row>
    <row r="29" spans="1:10">
      <c r="A29" s="78" t="s">
        <v>240</v>
      </c>
      <c r="B29" s="100"/>
      <c r="C29" s="100"/>
      <c r="D29" s="100"/>
      <c r="E29" s="100">
        <v>96000</v>
      </c>
      <c r="F29" s="95"/>
      <c r="G29" s="95"/>
      <c r="H29" s="95"/>
      <c r="I29" s="95"/>
      <c r="J29" s="95"/>
    </row>
    <row r="30" spans="1:10">
      <c r="A30" s="78" t="s">
        <v>241</v>
      </c>
      <c r="B30" s="113"/>
      <c r="C30" s="113"/>
      <c r="D30" s="113"/>
      <c r="E30" s="100">
        <f>E19*50</f>
        <v>92000</v>
      </c>
      <c r="F30" s="95"/>
      <c r="G30" s="95"/>
      <c r="H30" s="95"/>
      <c r="I30" s="95"/>
      <c r="J30" s="95"/>
    </row>
    <row r="31" spans="1:10">
      <c r="A31" s="79" t="s">
        <v>242</v>
      </c>
      <c r="B31" s="114"/>
      <c r="C31" s="62"/>
      <c r="D31" s="62"/>
      <c r="E31" s="62">
        <f>((E29+E30)/0.8)-(E29+E30)</f>
        <v>47000</v>
      </c>
      <c r="F31" s="95"/>
      <c r="G31" s="95"/>
      <c r="H31" s="95"/>
      <c r="I31" s="95"/>
      <c r="J31" s="95"/>
    </row>
    <row r="32" spans="1:10">
      <c r="A32" s="80" t="s">
        <v>243</v>
      </c>
      <c r="B32" s="115"/>
      <c r="C32" s="101"/>
      <c r="D32" s="101"/>
      <c r="E32" s="101">
        <f>E29+E30+E31</f>
        <v>235000</v>
      </c>
      <c r="F32" s="95"/>
      <c r="G32" s="95"/>
      <c r="H32" s="95"/>
      <c r="I32" s="95"/>
      <c r="J32" s="95"/>
    </row>
    <row r="33" spans="1:10">
      <c r="A33" s="95"/>
      <c r="B33" s="116"/>
      <c r="C33" s="100"/>
      <c r="D33" s="100"/>
      <c r="E33" s="95"/>
      <c r="F33" s="95"/>
      <c r="G33" s="95"/>
      <c r="H33" s="95"/>
      <c r="I33" s="95"/>
      <c r="J33" s="95"/>
    </row>
    <row r="34" spans="1:10">
      <c r="A34" s="78" t="s">
        <v>244</v>
      </c>
      <c r="B34" s="95"/>
      <c r="C34" s="95"/>
      <c r="D34" s="100"/>
      <c r="E34" s="95"/>
      <c r="F34" s="95"/>
      <c r="G34" s="95"/>
      <c r="H34" s="95"/>
      <c r="I34" s="95"/>
      <c r="J34" s="95"/>
    </row>
    <row r="35" spans="1:10">
      <c r="A35" s="78" t="s">
        <v>245</v>
      </c>
      <c r="B35" s="95"/>
      <c r="C35" s="95"/>
      <c r="D35" s="95"/>
      <c r="E35" s="95"/>
      <c r="F35" s="95"/>
      <c r="G35" s="95"/>
      <c r="H35" s="95"/>
      <c r="I35" s="95"/>
      <c r="J35" s="95"/>
    </row>
    <row r="36" spans="1:10">
      <c r="A36" s="95"/>
      <c r="B36" s="95"/>
      <c r="C36" s="95"/>
      <c r="D36" s="95"/>
      <c r="E36" s="95"/>
      <c r="F36" s="95"/>
      <c r="G36" s="95"/>
      <c r="H36" s="95"/>
      <c r="I36" s="95"/>
      <c r="J36" s="95"/>
    </row>
    <row r="37" spans="1:10">
      <c r="A37" s="78" t="s">
        <v>246</v>
      </c>
      <c r="B37" s="95"/>
      <c r="C37" s="95"/>
      <c r="D37" s="95"/>
      <c r="E37" s="100">
        <v>200000</v>
      </c>
      <c r="F37" s="95"/>
      <c r="G37" s="95"/>
      <c r="H37" s="95"/>
      <c r="I37" s="95"/>
      <c r="J37" s="95"/>
    </row>
    <row r="38" spans="1:10">
      <c r="A38" s="78" t="s">
        <v>247</v>
      </c>
      <c r="B38" s="95"/>
      <c r="C38" s="95"/>
      <c r="D38" s="95"/>
      <c r="E38" s="100">
        <f>E37*0.2</f>
        <v>40000</v>
      </c>
      <c r="F38" s="95"/>
      <c r="G38" s="95"/>
      <c r="H38" s="95"/>
      <c r="I38" s="95"/>
      <c r="J38" s="95"/>
    </row>
    <row r="39" spans="1:10">
      <c r="A39" s="117" t="s">
        <v>248</v>
      </c>
      <c r="B39" s="117"/>
      <c r="C39" s="117"/>
      <c r="D39" s="117"/>
      <c r="E39" s="118">
        <f>E29+E30-(50*400)</f>
        <v>168000</v>
      </c>
      <c r="F39" s="95"/>
      <c r="G39" s="95"/>
      <c r="H39" s="95"/>
      <c r="I39" s="95"/>
      <c r="J39" s="95"/>
    </row>
    <row r="40" spans="1:10">
      <c r="A40" s="80" t="s">
        <v>249</v>
      </c>
      <c r="B40" s="112"/>
      <c r="C40" s="112"/>
      <c r="D40" s="112"/>
      <c r="E40" s="101">
        <f>E37-E38-E39</f>
        <v>-8000</v>
      </c>
      <c r="F40" s="95"/>
      <c r="G40" s="95"/>
      <c r="H40" s="95"/>
      <c r="I40" s="95"/>
      <c r="J40" s="95"/>
    </row>
    <row r="41" spans="1:10">
      <c r="A41" s="95"/>
      <c r="B41" s="113"/>
      <c r="C41" s="113"/>
      <c r="D41" s="113"/>
      <c r="E41" s="119"/>
      <c r="F41" s="119"/>
      <c r="G41" s="119"/>
      <c r="H41" s="95"/>
      <c r="I41" s="95"/>
      <c r="J41" s="95"/>
    </row>
    <row r="42" spans="1:10">
      <c r="A42" s="78" t="s">
        <v>250</v>
      </c>
      <c r="B42" s="111"/>
      <c r="C42" s="111"/>
      <c r="D42" s="111"/>
      <c r="E42" s="111"/>
      <c r="F42" s="111"/>
      <c r="G42" s="111"/>
      <c r="H42" s="95"/>
      <c r="I42" s="95"/>
      <c r="J42" s="95"/>
    </row>
    <row r="43" spans="1:10">
      <c r="A43" s="78" t="s">
        <v>251</v>
      </c>
      <c r="B43" s="111"/>
      <c r="C43" s="111"/>
      <c r="D43" s="111"/>
      <c r="E43" s="111"/>
      <c r="F43" s="111"/>
      <c r="G43" s="111"/>
      <c r="H43" s="95"/>
      <c r="I43" s="95"/>
      <c r="J43" s="95"/>
    </row>
    <row r="44" spans="1:10">
      <c r="A44" s="112"/>
      <c r="B44" s="120"/>
      <c r="C44" s="120"/>
      <c r="D44" s="120"/>
      <c r="E44" s="120"/>
      <c r="F44" s="120"/>
      <c r="G44" s="120"/>
      <c r="H44" s="95"/>
      <c r="I44" s="95"/>
      <c r="J44" s="95"/>
    </row>
    <row r="45" spans="1:10">
      <c r="A45" s="78" t="s">
        <v>252</v>
      </c>
      <c r="B45" s="95"/>
      <c r="C45" s="95"/>
      <c r="D45" s="95"/>
      <c r="E45" s="95"/>
      <c r="F45" s="95"/>
      <c r="G45" s="95"/>
      <c r="H45" s="95"/>
      <c r="I45" s="95"/>
      <c r="J45" s="95"/>
    </row>
    <row r="46" spans="1:10">
      <c r="A46" s="78" t="s">
        <v>253</v>
      </c>
      <c r="B46" s="95"/>
      <c r="C46" s="95"/>
      <c r="D46" s="95"/>
      <c r="E46" s="95"/>
      <c r="F46" s="95"/>
      <c r="G46" s="95"/>
      <c r="H46" s="95"/>
      <c r="I46" s="95"/>
      <c r="J46" s="95"/>
    </row>
    <row r="47" spans="1:10">
      <c r="A47" s="95"/>
      <c r="B47" s="100"/>
      <c r="C47" s="100"/>
      <c r="D47" s="100"/>
      <c r="E47" s="95"/>
      <c r="F47" s="95"/>
      <c r="G47" s="95"/>
      <c r="H47" s="95"/>
      <c r="I47" s="95"/>
      <c r="J47" s="95"/>
    </row>
    <row r="48" spans="1:10">
      <c r="A48" s="78" t="s">
        <v>254</v>
      </c>
      <c r="B48" s="100"/>
      <c r="C48" s="100"/>
      <c r="D48" s="100"/>
      <c r="E48" s="95"/>
      <c r="F48" s="95"/>
      <c r="G48" s="95"/>
      <c r="H48" s="95"/>
      <c r="I48" s="95"/>
      <c r="J48" s="95"/>
    </row>
    <row r="49" spans="1:10">
      <c r="A49" s="78" t="s">
        <v>255</v>
      </c>
      <c r="B49" s="100"/>
      <c r="C49" s="100"/>
      <c r="D49" s="100"/>
      <c r="E49" s="100">
        <v>96000</v>
      </c>
      <c r="F49" s="95"/>
      <c r="G49" s="95"/>
      <c r="H49" s="95"/>
      <c r="I49" s="95"/>
      <c r="J49" s="95"/>
    </row>
    <row r="50" spans="1:10">
      <c r="A50" s="78" t="s">
        <v>256</v>
      </c>
      <c r="B50" s="113"/>
      <c r="C50" s="113"/>
      <c r="D50" s="113"/>
      <c r="E50" s="100">
        <f>400*50</f>
        <v>20000</v>
      </c>
      <c r="F50" s="95"/>
      <c r="G50" s="95"/>
      <c r="H50" s="95"/>
      <c r="I50" s="95"/>
      <c r="J50" s="95"/>
    </row>
    <row r="51" spans="1:10">
      <c r="A51" s="78" t="s">
        <v>257</v>
      </c>
      <c r="B51" s="111"/>
      <c r="C51" s="100"/>
      <c r="D51" s="100"/>
      <c r="E51" s="100">
        <f>0.2*200000</f>
        <v>40000</v>
      </c>
      <c r="F51" s="95"/>
      <c r="G51" s="95"/>
      <c r="H51" s="95"/>
      <c r="I51" s="95"/>
      <c r="J51" s="95"/>
    </row>
    <row r="52" spans="1:10">
      <c r="A52" s="78" t="s">
        <v>258</v>
      </c>
      <c r="B52" s="111"/>
      <c r="C52" s="100"/>
      <c r="D52" s="100"/>
      <c r="E52" s="100">
        <f>E51+E50+E49</f>
        <v>156000</v>
      </c>
      <c r="F52" s="95"/>
      <c r="G52" s="95"/>
      <c r="H52" s="95"/>
      <c r="I52" s="95"/>
      <c r="J52" s="95"/>
    </row>
    <row r="53" spans="1:10">
      <c r="A53" s="78" t="s">
        <v>259</v>
      </c>
      <c r="B53" s="111"/>
      <c r="C53" s="100"/>
      <c r="D53" s="100"/>
      <c r="E53" s="100">
        <v>200000</v>
      </c>
      <c r="F53" s="95"/>
      <c r="G53" s="95"/>
      <c r="H53" s="95"/>
      <c r="I53" s="95"/>
      <c r="J53" s="95"/>
    </row>
    <row r="54" spans="1:10">
      <c r="A54" s="80" t="s">
        <v>260</v>
      </c>
      <c r="B54" s="112"/>
      <c r="C54" s="112"/>
      <c r="D54" s="101"/>
      <c r="E54" s="101">
        <f>E53-E52</f>
        <v>44000</v>
      </c>
      <c r="F54" s="95"/>
      <c r="G54" s="95"/>
      <c r="H54" s="95"/>
      <c r="I54" s="95"/>
      <c r="J54" s="95"/>
    </row>
    <row r="55" spans="1:10">
      <c r="A55" s="95"/>
      <c r="B55" s="95"/>
      <c r="C55" s="95"/>
      <c r="D55" s="95"/>
      <c r="E55" s="95"/>
      <c r="F55" s="95"/>
      <c r="G55" s="95"/>
      <c r="H55" s="95"/>
      <c r="I55" s="95"/>
      <c r="J55" s="95"/>
    </row>
    <row r="56" spans="1:10">
      <c r="A56" s="80" t="s">
        <v>261</v>
      </c>
      <c r="B56" s="95"/>
      <c r="C56" s="95"/>
      <c r="D56" s="95"/>
      <c r="E56" s="95"/>
      <c r="F56" s="95"/>
      <c r="G56" s="95"/>
      <c r="H56" s="95"/>
      <c r="I56" s="95"/>
      <c r="J56" s="95"/>
    </row>
    <row r="57" spans="1:10">
      <c r="A57" s="95"/>
      <c r="B57" s="95"/>
      <c r="C57" s="95"/>
      <c r="D57" s="95"/>
      <c r="E57" s="95"/>
      <c r="F57" s="95"/>
      <c r="G57" s="95"/>
      <c r="H57" s="95"/>
      <c r="I57" s="95"/>
      <c r="J57" s="95"/>
    </row>
    <row r="58" spans="1:10">
      <c r="A58" s="121" t="s">
        <v>262</v>
      </c>
      <c r="B58" s="95"/>
      <c r="C58" s="95"/>
      <c r="D58" s="95"/>
      <c r="E58" s="95"/>
      <c r="F58" s="95"/>
      <c r="G58" s="95"/>
      <c r="H58" s="95"/>
      <c r="I58" s="95"/>
      <c r="J58" s="95"/>
    </row>
    <row r="59" spans="1:10">
      <c r="A59" s="122" t="s">
        <v>263</v>
      </c>
      <c r="B59" s="95"/>
      <c r="C59" s="95"/>
      <c r="D59" s="95"/>
      <c r="E59" s="95"/>
      <c r="F59" s="95"/>
      <c r="G59" s="95"/>
      <c r="H59" s="95"/>
      <c r="I59" s="95"/>
      <c r="J59" s="95"/>
    </row>
    <row r="60" spans="1:10">
      <c r="A60" s="121" t="s">
        <v>264</v>
      </c>
      <c r="B60" s="95"/>
      <c r="C60" s="95"/>
      <c r="D60" s="95"/>
      <c r="E60" s="95"/>
      <c r="F60" s="95"/>
      <c r="G60" s="95"/>
      <c r="H60" s="95"/>
      <c r="I60" s="95"/>
      <c r="J60" s="95"/>
    </row>
    <row r="61" spans="1:10">
      <c r="A61" s="95"/>
      <c r="B61" s="113"/>
      <c r="C61" s="113"/>
      <c r="D61" s="113"/>
      <c r="E61" s="119"/>
      <c r="F61" s="119"/>
      <c r="G61" s="119"/>
      <c r="H61" s="95"/>
      <c r="I61" s="95"/>
      <c r="J61" s="95"/>
    </row>
    <row r="62" spans="1:10">
      <c r="A62" s="78" t="s">
        <v>254</v>
      </c>
      <c r="B62" s="100"/>
      <c r="C62" s="100"/>
      <c r="D62" s="100"/>
      <c r="E62" s="95"/>
      <c r="F62" s="120"/>
      <c r="G62" s="120"/>
      <c r="H62" s="95"/>
      <c r="I62" s="95"/>
      <c r="J62" s="95"/>
    </row>
    <row r="63" spans="1:10">
      <c r="A63" s="78" t="s">
        <v>255</v>
      </c>
      <c r="B63" s="100"/>
      <c r="C63" s="100"/>
      <c r="D63" s="100"/>
      <c r="E63" s="100">
        <v>96000</v>
      </c>
      <c r="F63" s="111"/>
      <c r="G63" s="111"/>
      <c r="H63" s="95"/>
      <c r="I63" s="95"/>
      <c r="J63" s="95"/>
    </row>
    <row r="64" spans="1:10">
      <c r="A64" s="78" t="s">
        <v>256</v>
      </c>
      <c r="B64" s="113"/>
      <c r="C64" s="113"/>
      <c r="D64" s="113"/>
      <c r="E64" s="100">
        <f>400*50</f>
        <v>20000</v>
      </c>
      <c r="F64" s="123"/>
      <c r="G64" s="123"/>
      <c r="H64" s="95"/>
      <c r="I64" s="95"/>
      <c r="J64" s="95"/>
    </row>
    <row r="65" spans="1:10">
      <c r="A65" s="78" t="s">
        <v>257</v>
      </c>
      <c r="B65" s="111"/>
      <c r="C65" s="100"/>
      <c r="D65" s="100"/>
      <c r="E65" s="100">
        <f>0.2*200000</f>
        <v>40000</v>
      </c>
      <c r="F65" s="95"/>
      <c r="G65" s="95"/>
      <c r="H65" s="95"/>
      <c r="I65" s="95"/>
      <c r="J65" s="95"/>
    </row>
    <row r="66" spans="1:10">
      <c r="A66" s="78" t="s">
        <v>258</v>
      </c>
      <c r="B66" s="111"/>
      <c r="C66" s="100"/>
      <c r="D66" s="100"/>
      <c r="E66" s="100">
        <f>E65+E64+E63</f>
        <v>156000</v>
      </c>
      <c r="F66" s="95"/>
      <c r="G66" s="95"/>
      <c r="H66" s="95"/>
      <c r="I66" s="95"/>
      <c r="J66" s="95"/>
    </row>
    <row r="67" spans="1:10">
      <c r="A67" s="78" t="s">
        <v>259</v>
      </c>
      <c r="B67" s="111"/>
      <c r="C67" s="100"/>
      <c r="D67" s="100"/>
      <c r="E67" s="100">
        <v>220000</v>
      </c>
      <c r="F67" s="95"/>
      <c r="G67" s="95"/>
      <c r="H67" s="95"/>
      <c r="I67" s="95"/>
      <c r="J67" s="95"/>
    </row>
    <row r="68" spans="1:10">
      <c r="A68" s="80" t="s">
        <v>260</v>
      </c>
      <c r="B68" s="112"/>
      <c r="C68" s="112"/>
      <c r="D68" s="101"/>
      <c r="E68" s="101">
        <f>E67-E66</f>
        <v>64000</v>
      </c>
      <c r="F68" s="95"/>
      <c r="G68" s="95"/>
      <c r="H68" s="95"/>
      <c r="I68" s="95"/>
      <c r="J68" s="95"/>
    </row>
    <row r="69" spans="1:10">
      <c r="A69" s="95"/>
      <c r="B69" s="95"/>
      <c r="C69" s="95"/>
      <c r="D69" s="95"/>
      <c r="E69" s="95"/>
      <c r="F69" s="95"/>
      <c r="G69" s="95"/>
      <c r="H69" s="95"/>
      <c r="I69" s="95"/>
      <c r="J69" s="95"/>
    </row>
    <row r="70" spans="1:10" ht="14">
      <c r="A70" s="124" t="s">
        <v>265</v>
      </c>
      <c r="B70" s="95"/>
      <c r="C70" s="95"/>
      <c r="D70" s="95"/>
      <c r="E70" s="95"/>
      <c r="F70" s="95"/>
      <c r="G70" s="95"/>
      <c r="H70" s="95"/>
      <c r="I70" s="95"/>
      <c r="J70" s="95"/>
    </row>
    <row r="71" spans="1:10">
      <c r="A71" s="95"/>
      <c r="B71" s="95"/>
      <c r="C71" s="95"/>
      <c r="D71" s="95"/>
      <c r="E71" s="95"/>
      <c r="F71" s="95"/>
      <c r="G71" s="95"/>
      <c r="H71" s="95"/>
      <c r="I71" s="95"/>
      <c r="J71" s="95"/>
    </row>
    <row r="72" spans="1:10">
      <c r="A72" s="95"/>
      <c r="B72" s="95"/>
      <c r="C72" s="95"/>
      <c r="D72" s="95"/>
      <c r="E72" s="95"/>
      <c r="F72" s="95"/>
      <c r="G72" s="95"/>
      <c r="H72" s="95"/>
      <c r="I72" s="95"/>
      <c r="J72" s="95"/>
    </row>
    <row r="73" spans="1:10">
      <c r="A73" s="95"/>
      <c r="B73" s="95"/>
      <c r="C73" s="95"/>
      <c r="D73" s="95"/>
      <c r="E73" s="95"/>
      <c r="F73" s="95"/>
      <c r="G73" s="95"/>
      <c r="H73" s="95"/>
      <c r="I73" s="95"/>
      <c r="J73" s="95"/>
    </row>
    <row r="74" spans="1:10">
      <c r="A74" s="95"/>
      <c r="B74" s="95"/>
      <c r="C74" s="95"/>
      <c r="D74" s="95"/>
      <c r="E74" s="95"/>
      <c r="F74" s="95"/>
      <c r="G74" s="95"/>
      <c r="H74" s="95"/>
      <c r="I74" s="95"/>
      <c r="J74" s="95"/>
    </row>
    <row r="75" spans="1:10">
      <c r="A75" s="95"/>
      <c r="B75" s="95"/>
      <c r="C75" s="95"/>
      <c r="D75" s="95"/>
      <c r="E75" s="95"/>
      <c r="F75" s="95"/>
      <c r="G75" s="95"/>
      <c r="H75" s="95"/>
      <c r="I75" s="95"/>
      <c r="J75" s="95"/>
    </row>
    <row r="76" spans="1:10">
      <c r="A76" s="95"/>
      <c r="B76" s="95"/>
      <c r="C76" s="95"/>
      <c r="D76" s="95"/>
      <c r="E76" s="95"/>
      <c r="F76" s="95"/>
      <c r="G76" s="95"/>
      <c r="H76" s="95"/>
      <c r="I76" s="95"/>
      <c r="J76" s="95"/>
    </row>
    <row r="77" spans="1:10">
      <c r="A77" s="95"/>
      <c r="B77" s="95"/>
      <c r="C77" s="95"/>
      <c r="D77" s="95"/>
      <c r="E77" s="95"/>
      <c r="F77" s="95"/>
      <c r="G77" s="95"/>
      <c r="H77" s="95"/>
      <c r="I77" s="95"/>
      <c r="J77" s="95"/>
    </row>
    <row r="78" spans="1:10">
      <c r="A78" s="95"/>
      <c r="B78" s="95"/>
      <c r="C78" s="95"/>
      <c r="D78" s="95"/>
      <c r="E78" s="95"/>
      <c r="F78" s="95"/>
      <c r="G78" s="95"/>
      <c r="H78" s="95"/>
      <c r="I78" s="95"/>
      <c r="J78" s="95"/>
    </row>
    <row r="79" spans="1:10">
      <c r="A79" s="112"/>
      <c r="B79" s="95"/>
      <c r="C79" s="95"/>
      <c r="D79" s="95"/>
      <c r="E79" s="95"/>
      <c r="F79" s="95"/>
      <c r="G79" s="95"/>
      <c r="H79" s="95"/>
      <c r="I79" s="95"/>
      <c r="J79" s="95"/>
    </row>
    <row r="80" spans="1:10">
      <c r="A80" s="95"/>
      <c r="B80" s="95"/>
      <c r="C80" s="95"/>
      <c r="D80" s="95"/>
      <c r="E80" s="95"/>
      <c r="F80" s="95"/>
      <c r="G80" s="95"/>
      <c r="H80" s="95"/>
      <c r="I80" s="95"/>
      <c r="J80" s="95"/>
    </row>
    <row r="81" spans="1:10">
      <c r="A81" s="125"/>
      <c r="B81" s="95"/>
      <c r="C81" s="95"/>
      <c r="D81" s="95"/>
      <c r="E81" s="95"/>
      <c r="F81" s="95"/>
      <c r="G81" s="95"/>
      <c r="H81" s="95"/>
      <c r="I81" s="95"/>
      <c r="J81" s="95"/>
    </row>
    <row r="82" spans="1:10">
      <c r="A82" s="95"/>
      <c r="B82" s="95"/>
      <c r="C82" s="95"/>
      <c r="D82" s="95"/>
      <c r="E82" s="95"/>
      <c r="F82" s="95"/>
      <c r="G82" s="95"/>
      <c r="H82" s="95"/>
      <c r="I82" s="95"/>
      <c r="J82" s="95"/>
    </row>
    <row r="83" spans="1:10">
      <c r="A83" s="95"/>
      <c r="B83" s="113"/>
      <c r="C83" s="113"/>
      <c r="D83" s="113"/>
      <c r="E83" s="119"/>
      <c r="F83" s="119"/>
      <c r="G83" s="119"/>
      <c r="H83" s="95"/>
      <c r="I83" s="95"/>
      <c r="J83" s="95"/>
    </row>
    <row r="84" spans="1:10">
      <c r="A84" s="112"/>
      <c r="B84" s="123"/>
      <c r="C84" s="123"/>
      <c r="D84" s="123"/>
      <c r="E84" s="123"/>
      <c r="F84" s="111"/>
      <c r="G84" s="101"/>
      <c r="H84" s="95"/>
      <c r="I84" s="95"/>
      <c r="J84" s="95"/>
    </row>
    <row r="85" spans="1:10">
      <c r="A85" s="95"/>
      <c r="B85" s="120"/>
      <c r="C85" s="120"/>
      <c r="D85" s="120"/>
      <c r="E85" s="120"/>
      <c r="F85" s="120"/>
      <c r="G85" s="100"/>
      <c r="H85" s="95"/>
      <c r="I85" s="95"/>
      <c r="J85" s="95"/>
    </row>
    <row r="86" spans="1:10">
      <c r="A86" s="122"/>
      <c r="B86" s="123"/>
      <c r="C86" s="123"/>
      <c r="D86" s="123"/>
      <c r="E86" s="123"/>
      <c r="F86" s="111"/>
      <c r="G86" s="126"/>
      <c r="H86" s="95"/>
      <c r="I86" s="95"/>
      <c r="J86" s="95"/>
    </row>
    <row r="87" spans="1:10">
      <c r="A87" s="95"/>
      <c r="B87" s="95"/>
      <c r="C87" s="95"/>
      <c r="D87" s="95"/>
      <c r="E87" s="95"/>
      <c r="F87" s="95"/>
      <c r="G87" s="95"/>
      <c r="H87" s="95"/>
      <c r="I87" s="95"/>
      <c r="J87" s="95"/>
    </row>
    <row r="88" spans="1:10">
      <c r="A88" s="95"/>
      <c r="B88" s="95"/>
      <c r="C88" s="95"/>
      <c r="D88" s="95"/>
      <c r="E88" s="95"/>
      <c r="F88" s="95"/>
      <c r="G88" s="95"/>
      <c r="H88" s="95"/>
      <c r="I88" s="95"/>
      <c r="J88" s="95"/>
    </row>
    <row r="89" spans="1:10">
      <c r="A89" s="95"/>
      <c r="B89" s="95"/>
      <c r="C89" s="95"/>
      <c r="D89" s="95"/>
      <c r="E89" s="95"/>
      <c r="F89" s="95"/>
      <c r="G89" s="95"/>
      <c r="H89" s="95"/>
      <c r="I89" s="95"/>
      <c r="J89" s="95"/>
    </row>
    <row r="90" spans="1:10">
      <c r="A90" s="95"/>
      <c r="B90" s="95"/>
      <c r="C90" s="95"/>
      <c r="D90" s="95"/>
      <c r="E90" s="95"/>
      <c r="F90" s="95"/>
      <c r="G90" s="95"/>
      <c r="H90" s="95"/>
      <c r="I90" s="95"/>
      <c r="J90" s="95"/>
    </row>
    <row r="91" spans="1:10">
      <c r="A91" s="95"/>
      <c r="B91" s="95"/>
      <c r="C91" s="95"/>
      <c r="D91" s="95"/>
      <c r="E91" s="95"/>
      <c r="F91" s="95"/>
      <c r="G91" s="95"/>
      <c r="H91" s="95"/>
      <c r="I91" s="95"/>
      <c r="J91" s="95"/>
    </row>
  </sheetData>
  <pageMargins left="0.78740157499999996" right="0.78740157499999996" top="0.984251969" bottom="0.984251969" header="0.49212598499999999" footer="0.49212598499999999"/>
  <pageSetup orientation="landscape" horizontalDpi="1200" verticalDpi="1200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17"/>
  <sheetViews>
    <sheetView showGridLines="0" zoomScale="130" zoomScaleNormal="130" workbookViewId="0">
      <selection activeCell="C4" sqref="C4"/>
    </sheetView>
  </sheetViews>
  <sheetFormatPr baseColWidth="10" defaultColWidth="9.1640625" defaultRowHeight="13"/>
  <cols>
    <col min="1" max="1" width="16.33203125" style="50" customWidth="1"/>
    <col min="2" max="2" width="13.5" style="50" bestFit="1" customWidth="1"/>
    <col min="3" max="3" width="14" style="50" bestFit="1" customWidth="1"/>
    <col min="4" max="4" width="10.6640625" style="50" bestFit="1" customWidth="1"/>
    <col min="5" max="5" width="7" style="50" bestFit="1" customWidth="1"/>
    <col min="6" max="6" width="11.33203125" style="50" bestFit="1" customWidth="1"/>
    <col min="7" max="7" width="7.5" style="50" bestFit="1" customWidth="1"/>
    <col min="8" max="8" width="8" style="50" bestFit="1" customWidth="1"/>
    <col min="9" max="10" width="6.6640625" style="50" customWidth="1"/>
    <col min="11" max="16384" width="9.1640625" style="50"/>
  </cols>
  <sheetData>
    <row r="1" spans="1:14" ht="27.75" customHeight="1">
      <c r="A1" s="48" t="s">
        <v>266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4">
      <c r="A2" s="95" t="s">
        <v>267</v>
      </c>
      <c r="B2" s="95"/>
      <c r="C2" s="95"/>
      <c r="D2" s="95"/>
      <c r="E2" s="95"/>
      <c r="F2" s="95"/>
      <c r="G2" s="95"/>
      <c r="H2" s="95"/>
      <c r="I2" s="95"/>
      <c r="J2" s="95"/>
    </row>
    <row r="3" spans="1:14">
      <c r="A3" s="95"/>
      <c r="B3" s="95"/>
      <c r="C3" s="95"/>
      <c r="D3" s="95"/>
      <c r="E3" s="95"/>
      <c r="F3" s="95"/>
      <c r="G3" s="95"/>
      <c r="H3" s="95"/>
      <c r="I3" s="95"/>
      <c r="J3" s="95"/>
    </row>
    <row r="4" spans="1:14">
      <c r="A4" s="87" t="s">
        <v>268</v>
      </c>
      <c r="B4" s="87" t="s">
        <v>269</v>
      </c>
      <c r="C4" s="87" t="s">
        <v>270</v>
      </c>
      <c r="D4" s="87" t="s">
        <v>271</v>
      </c>
      <c r="E4" s="87" t="s">
        <v>272</v>
      </c>
      <c r="F4" s="127" t="s">
        <v>176</v>
      </c>
      <c r="G4" s="127" t="s">
        <v>273</v>
      </c>
      <c r="H4" s="127" t="s">
        <v>97</v>
      </c>
      <c r="I4" s="127" t="s">
        <v>174</v>
      </c>
      <c r="J4" s="127" t="s">
        <v>274</v>
      </c>
      <c r="K4" s="127" t="s">
        <v>275</v>
      </c>
      <c r="L4" s="127" t="s">
        <v>276</v>
      </c>
    </row>
    <row r="5" spans="1:14">
      <c r="A5" s="128"/>
      <c r="B5" s="128" t="s">
        <v>277</v>
      </c>
      <c r="C5" s="128" t="s">
        <v>278</v>
      </c>
      <c r="D5" s="128"/>
      <c r="E5" s="128" t="s">
        <v>279</v>
      </c>
      <c r="F5" s="128" t="s">
        <v>280</v>
      </c>
      <c r="G5" s="129" t="s">
        <v>279</v>
      </c>
      <c r="H5" s="129" t="s">
        <v>173</v>
      </c>
      <c r="I5" s="128"/>
      <c r="J5" s="128"/>
      <c r="K5" s="129" t="s">
        <v>281</v>
      </c>
      <c r="L5" s="130" t="s">
        <v>282</v>
      </c>
    </row>
    <row r="6" spans="1:14">
      <c r="A6" s="78" t="s">
        <v>283</v>
      </c>
      <c r="B6" s="100">
        <v>50000</v>
      </c>
      <c r="C6" s="131">
        <v>0.4</v>
      </c>
      <c r="D6" s="99">
        <f>B6*C6</f>
        <v>20000</v>
      </c>
      <c r="E6" s="116">
        <v>5.2</v>
      </c>
      <c r="F6" s="116">
        <v>0.8</v>
      </c>
      <c r="G6" s="132">
        <v>1.4</v>
      </c>
      <c r="H6" s="132">
        <v>0.4</v>
      </c>
      <c r="I6" s="116">
        <f>F6+G6+H6</f>
        <v>2.6</v>
      </c>
      <c r="J6" s="105">
        <f>E6-I6</f>
        <v>2.6</v>
      </c>
      <c r="K6" s="133">
        <f>J6/C6</f>
        <v>6.5</v>
      </c>
      <c r="L6" s="134">
        <f>J6/E6</f>
        <v>0.5</v>
      </c>
      <c r="M6" s="105">
        <f>E6-G6</f>
        <v>3.8000000000000003</v>
      </c>
      <c r="N6" s="50">
        <f>M6/C6</f>
        <v>9.5</v>
      </c>
    </row>
    <row r="7" spans="1:14">
      <c r="A7" s="78" t="s">
        <v>284</v>
      </c>
      <c r="B7" s="100">
        <v>42000</v>
      </c>
      <c r="C7" s="131">
        <v>0.25</v>
      </c>
      <c r="D7" s="99">
        <f>B7*C7</f>
        <v>10500</v>
      </c>
      <c r="E7" s="116">
        <v>3.4</v>
      </c>
      <c r="F7" s="116">
        <v>0.5</v>
      </c>
      <c r="G7" s="132">
        <v>0.7</v>
      </c>
      <c r="H7" s="132">
        <v>0.25</v>
      </c>
      <c r="I7" s="116">
        <f>F7+G7+H7</f>
        <v>1.45</v>
      </c>
      <c r="J7" s="105">
        <f>E7-I7</f>
        <v>1.95</v>
      </c>
      <c r="K7" s="135">
        <f>J7/C7</f>
        <v>7.8</v>
      </c>
      <c r="L7" s="136">
        <f>J7/E7</f>
        <v>0.57352941176470584</v>
      </c>
      <c r="M7" s="105">
        <f>E7-G7</f>
        <v>2.7</v>
      </c>
      <c r="N7" s="50">
        <f>M7/C7</f>
        <v>10.8</v>
      </c>
    </row>
    <row r="8" spans="1:14">
      <c r="A8" s="78" t="s">
        <v>285</v>
      </c>
      <c r="B8" s="100">
        <v>35000</v>
      </c>
      <c r="C8" s="131">
        <v>0.7</v>
      </c>
      <c r="D8" s="99">
        <f>B8*C8</f>
        <v>24500</v>
      </c>
      <c r="E8" s="116">
        <v>8.5</v>
      </c>
      <c r="F8" s="116">
        <v>1.4</v>
      </c>
      <c r="G8" s="132">
        <v>2.69</v>
      </c>
      <c r="H8" s="132">
        <v>0.7</v>
      </c>
      <c r="I8" s="116">
        <f>F8+G8+H8</f>
        <v>4.79</v>
      </c>
      <c r="J8" s="105">
        <f>E8-I8</f>
        <v>3.71</v>
      </c>
      <c r="K8" s="135">
        <f>J8/C8</f>
        <v>5.3000000000000007</v>
      </c>
      <c r="L8" s="136">
        <f>J8/E8</f>
        <v>0.43647058823529411</v>
      </c>
      <c r="M8" s="105">
        <f>E8-G8</f>
        <v>5.8100000000000005</v>
      </c>
      <c r="N8" s="50">
        <f>M8/C8</f>
        <v>8.3000000000000007</v>
      </c>
    </row>
    <row r="9" spans="1:14">
      <c r="A9" s="78" t="s">
        <v>286</v>
      </c>
      <c r="B9" s="100">
        <v>40000</v>
      </c>
      <c r="C9" s="131">
        <v>0.5</v>
      </c>
      <c r="D9" s="99">
        <f>B9*C9</f>
        <v>20000</v>
      </c>
      <c r="E9" s="132">
        <v>5</v>
      </c>
      <c r="F9" s="132">
        <v>1</v>
      </c>
      <c r="G9" s="132">
        <v>1</v>
      </c>
      <c r="H9" s="132">
        <v>0.5</v>
      </c>
      <c r="I9" s="116">
        <f>F9+G9+H9</f>
        <v>2.5</v>
      </c>
      <c r="J9" s="105">
        <f>E9-I9</f>
        <v>2.5</v>
      </c>
      <c r="K9" s="135">
        <f>J9/C9</f>
        <v>5</v>
      </c>
      <c r="L9" s="136">
        <f>J9/E9</f>
        <v>0.5</v>
      </c>
      <c r="M9" s="105">
        <f>E9-G9</f>
        <v>4</v>
      </c>
      <c r="N9" s="50">
        <f>M9/C9</f>
        <v>8</v>
      </c>
    </row>
    <row r="10" spans="1:14">
      <c r="A10" s="79" t="s">
        <v>287</v>
      </c>
      <c r="B10" s="62">
        <v>325000</v>
      </c>
      <c r="C10" s="137">
        <v>0.2</v>
      </c>
      <c r="D10" s="92">
        <f>B10*C10</f>
        <v>65000</v>
      </c>
      <c r="E10" s="138">
        <v>3</v>
      </c>
      <c r="F10" s="138">
        <v>0.4</v>
      </c>
      <c r="G10" s="138">
        <v>0.6</v>
      </c>
      <c r="H10" s="138">
        <v>0.2</v>
      </c>
      <c r="I10" s="114">
        <f>F10+G10+H10</f>
        <v>1.2</v>
      </c>
      <c r="J10" s="114">
        <f>E10-I10</f>
        <v>1.8</v>
      </c>
      <c r="K10" s="139">
        <f>J10/C10</f>
        <v>9</v>
      </c>
      <c r="L10" s="140">
        <f>J10/E10</f>
        <v>0.6</v>
      </c>
      <c r="M10" s="105">
        <f>E10-G10</f>
        <v>2.4</v>
      </c>
      <c r="N10" s="50">
        <f>M10/C10</f>
        <v>11.999999999999998</v>
      </c>
    </row>
    <row r="11" spans="1:14">
      <c r="A11" s="78" t="s">
        <v>288</v>
      </c>
      <c r="B11" s="100">
        <f>SUM(B6:B10)</f>
        <v>492000</v>
      </c>
      <c r="C11" s="100"/>
      <c r="D11" s="100">
        <f>SUM(D6:D10)</f>
        <v>140000</v>
      </c>
      <c r="E11" s="95"/>
      <c r="F11" s="95"/>
      <c r="G11" s="95"/>
      <c r="H11" s="95"/>
      <c r="I11" s="95"/>
      <c r="J11" s="95"/>
      <c r="K11" s="95"/>
    </row>
    <row r="12" spans="1:14">
      <c r="B12" s="95"/>
      <c r="C12" s="95"/>
      <c r="D12" s="95"/>
      <c r="E12" s="95"/>
      <c r="F12" s="95"/>
      <c r="G12" s="95"/>
      <c r="H12" s="95"/>
      <c r="I12" s="95"/>
      <c r="J12" s="95"/>
      <c r="K12" s="95"/>
    </row>
    <row r="13" spans="1:14">
      <c r="A13" s="78" t="s">
        <v>289</v>
      </c>
      <c r="B13" s="95"/>
      <c r="C13" s="95"/>
      <c r="D13" s="95"/>
      <c r="E13" s="95"/>
      <c r="F13" s="95"/>
      <c r="G13" s="95"/>
      <c r="H13" s="95"/>
      <c r="I13" s="95"/>
      <c r="J13" s="95"/>
      <c r="K13" s="95"/>
    </row>
    <row r="14" spans="1:14">
      <c r="A14" s="78" t="s">
        <v>290</v>
      </c>
      <c r="B14" s="95"/>
      <c r="C14" s="95"/>
      <c r="D14" s="95"/>
      <c r="E14" s="95"/>
      <c r="F14" s="95"/>
      <c r="G14" s="95"/>
      <c r="H14" s="95"/>
      <c r="I14" s="95"/>
      <c r="J14" s="95"/>
      <c r="K14" s="95"/>
    </row>
    <row r="15" spans="1:14">
      <c r="A15" s="78" t="s">
        <v>291</v>
      </c>
      <c r="B15" s="97"/>
      <c r="C15" s="97"/>
      <c r="D15" s="97"/>
      <c r="E15" s="97"/>
      <c r="F15" s="100"/>
      <c r="G15" s="95"/>
      <c r="H15" s="95"/>
      <c r="I15" s="95"/>
      <c r="J15" s="95"/>
      <c r="K15" s="95"/>
    </row>
    <row r="16" spans="1:14">
      <c r="A16" s="78"/>
      <c r="B16" s="111"/>
      <c r="C16" s="111"/>
      <c r="D16" s="111"/>
      <c r="E16" s="111"/>
      <c r="F16" s="100"/>
      <c r="G16" s="95"/>
      <c r="H16" s="95"/>
      <c r="I16" s="95"/>
      <c r="J16" s="95"/>
      <c r="K16" s="95"/>
    </row>
    <row r="17" spans="1:11">
      <c r="A17" s="78" t="s">
        <v>292</v>
      </c>
      <c r="B17" s="111"/>
      <c r="C17" s="111"/>
      <c r="D17" s="111"/>
      <c r="E17" s="111"/>
      <c r="F17" s="100"/>
      <c r="G17" s="95"/>
      <c r="H17" s="95"/>
      <c r="I17" s="95"/>
      <c r="J17" s="95"/>
      <c r="K17" s="95"/>
    </row>
    <row r="18" spans="1:11">
      <c r="A18" s="78" t="s">
        <v>293</v>
      </c>
      <c r="B18" s="100"/>
      <c r="C18" s="100"/>
      <c r="D18" s="100"/>
      <c r="E18" s="100"/>
      <c r="F18" s="100"/>
      <c r="G18" s="95"/>
      <c r="H18" s="95"/>
      <c r="I18" s="95"/>
      <c r="J18" s="95"/>
      <c r="K18" s="95"/>
    </row>
    <row r="19" spans="1:11">
      <c r="A19" s="122" t="s">
        <v>294</v>
      </c>
      <c r="B19" s="100"/>
      <c r="C19" s="100"/>
      <c r="D19" s="100"/>
      <c r="E19" s="100"/>
      <c r="F19" s="101"/>
      <c r="G19" s="95"/>
      <c r="H19" s="95"/>
      <c r="I19" s="95"/>
      <c r="J19" s="95"/>
      <c r="K19" s="95"/>
    </row>
    <row r="20" spans="1:11">
      <c r="A20" s="78" t="s">
        <v>295</v>
      </c>
      <c r="B20" s="100"/>
      <c r="C20" s="100"/>
      <c r="D20" s="100"/>
      <c r="E20" s="100"/>
      <c r="F20" s="95"/>
      <c r="G20" s="95"/>
      <c r="H20" s="95"/>
      <c r="I20" s="95"/>
      <c r="J20" s="95"/>
      <c r="K20" s="95"/>
    </row>
    <row r="21" spans="1:11">
      <c r="A21" s="78" t="s">
        <v>296</v>
      </c>
      <c r="B21" s="100"/>
      <c r="C21" s="100"/>
      <c r="D21" s="100"/>
      <c r="E21" s="100"/>
      <c r="F21" s="95"/>
      <c r="G21" s="95"/>
      <c r="H21" s="95"/>
      <c r="I21" s="95"/>
      <c r="J21" s="95"/>
      <c r="K21" s="95"/>
    </row>
    <row r="22" spans="1:11">
      <c r="A22" s="78"/>
      <c r="B22" s="100"/>
      <c r="C22" s="100"/>
      <c r="D22" s="100"/>
      <c r="E22" s="100"/>
      <c r="F22" s="95"/>
      <c r="G22" s="95"/>
      <c r="H22" s="95"/>
      <c r="I22" s="95"/>
      <c r="J22" s="95"/>
      <c r="K22" s="95"/>
    </row>
    <row r="23" spans="1:11">
      <c r="A23" s="78" t="s">
        <v>297</v>
      </c>
      <c r="B23" s="100"/>
      <c r="C23" s="100"/>
      <c r="D23" s="100"/>
      <c r="E23" s="100"/>
      <c r="F23" s="95"/>
      <c r="G23" s="95"/>
      <c r="H23" s="95"/>
      <c r="I23" s="95"/>
      <c r="J23" s="95"/>
      <c r="K23" s="95"/>
    </row>
    <row r="24" spans="1:11">
      <c r="A24" s="121" t="s">
        <v>298</v>
      </c>
      <c r="B24" s="100"/>
      <c r="E24" s="100"/>
      <c r="F24" s="100"/>
      <c r="G24" s="95"/>
      <c r="H24" s="95"/>
      <c r="I24" s="95"/>
      <c r="J24" s="95"/>
      <c r="K24" s="95"/>
    </row>
    <row r="25" spans="1:11">
      <c r="A25" s="78" t="s">
        <v>199</v>
      </c>
      <c r="B25" s="100">
        <f>($B$6*$E$6)+($B$7*$E$7)+($B$8*$E$8)+($B$9*$E$9)+(($B$10-50000)*$E$10)</f>
        <v>1725300</v>
      </c>
      <c r="E25" s="100"/>
      <c r="F25" s="95"/>
      <c r="G25" s="95"/>
      <c r="H25" s="95"/>
      <c r="I25" s="95"/>
      <c r="J25" s="95"/>
      <c r="K25" s="95"/>
    </row>
    <row r="26" spans="1:11">
      <c r="A26" s="78" t="s">
        <v>299</v>
      </c>
      <c r="B26" s="100">
        <f>($B$6*$F$6)+($B$7*$F$7)+($B$8*$F$8)+($B$9*$F$9)+(($B$10-50000)*$F$10)</f>
        <v>260000</v>
      </c>
      <c r="E26" s="100"/>
      <c r="F26" s="95"/>
      <c r="G26" s="95"/>
      <c r="H26" s="95"/>
      <c r="I26" s="95"/>
      <c r="J26" s="95"/>
      <c r="K26" s="95"/>
    </row>
    <row r="27" spans="1:11">
      <c r="A27" s="78" t="s">
        <v>300</v>
      </c>
      <c r="B27" s="100">
        <f>($B$6*$G$6)+($B$7*$G$7)+($B$8*$G$8)+($B$9*$G$9)+(($B$10-50000)*$G$10)</f>
        <v>398550</v>
      </c>
      <c r="E27" s="100"/>
      <c r="F27" s="95"/>
      <c r="G27" s="95"/>
      <c r="H27" s="95"/>
      <c r="I27" s="95"/>
      <c r="J27" s="95"/>
      <c r="K27" s="95"/>
    </row>
    <row r="28" spans="1:11">
      <c r="A28" s="79" t="s">
        <v>301</v>
      </c>
      <c r="B28" s="62">
        <f>($B$6*$H$6)+($B$7*$H$7)+($B$8*$H$8)+($B$9*$H$9)+(($B$10-50000)*$H$10)</f>
        <v>130000</v>
      </c>
      <c r="E28" s="100"/>
      <c r="F28" s="95"/>
      <c r="G28" s="95"/>
      <c r="H28" s="95"/>
      <c r="I28" s="95"/>
      <c r="J28" s="95"/>
      <c r="K28" s="95"/>
    </row>
    <row r="29" spans="1:11">
      <c r="A29" s="78" t="s">
        <v>274</v>
      </c>
      <c r="B29" s="100">
        <f>B25-B26-B27-B28</f>
        <v>936750</v>
      </c>
      <c r="E29" s="100"/>
      <c r="F29" s="100"/>
      <c r="G29" s="95"/>
      <c r="H29" s="95"/>
      <c r="I29" s="95"/>
      <c r="J29" s="95"/>
      <c r="K29" s="95"/>
    </row>
    <row r="30" spans="1:11">
      <c r="A30" s="78"/>
      <c r="B30" s="100"/>
      <c r="C30" s="113"/>
      <c r="D30" s="113"/>
      <c r="E30" s="113"/>
      <c r="F30" s="100"/>
      <c r="G30" s="95"/>
      <c r="H30" s="95"/>
      <c r="I30" s="95"/>
      <c r="J30" s="95"/>
      <c r="K30" s="95"/>
    </row>
    <row r="31" spans="1:11">
      <c r="A31" s="121" t="s">
        <v>302</v>
      </c>
      <c r="B31" s="100"/>
      <c r="C31" s="100"/>
      <c r="D31" s="100"/>
      <c r="E31" s="100"/>
      <c r="F31" s="100"/>
      <c r="G31" s="95"/>
      <c r="H31" s="95"/>
      <c r="I31" s="95"/>
      <c r="J31" s="95"/>
      <c r="K31" s="95"/>
    </row>
    <row r="32" spans="1:11">
      <c r="A32" s="78" t="s">
        <v>199</v>
      </c>
      <c r="B32" s="100">
        <f>($B$6*$E$6)+($B$7*$E$7)+($B$8*$E$8)+(($B$9-20000)*$E$9)+(($B$10)*$E$10)</f>
        <v>1775300</v>
      </c>
      <c r="C32" s="101"/>
      <c r="D32" s="101"/>
      <c r="E32" s="101"/>
      <c r="F32" s="101"/>
      <c r="G32" s="95"/>
      <c r="H32" s="95"/>
      <c r="I32" s="95"/>
      <c r="J32" s="95"/>
      <c r="K32" s="95"/>
    </row>
    <row r="33" spans="1:11">
      <c r="A33" s="78" t="s">
        <v>299</v>
      </c>
      <c r="B33" s="100">
        <f>($B$6*$F$6)+($B$7*$F$7)+($B$8*$F$8)+(($B$9-20000)*$F$9)+($B$10*$F$10)</f>
        <v>260000</v>
      </c>
      <c r="C33" s="100"/>
      <c r="D33" s="100"/>
      <c r="E33" s="100"/>
      <c r="F33" s="95"/>
      <c r="G33" s="95"/>
      <c r="H33" s="95"/>
      <c r="I33" s="95"/>
      <c r="J33" s="95"/>
      <c r="K33" s="95"/>
    </row>
    <row r="34" spans="1:11">
      <c r="A34" s="78" t="s">
        <v>300</v>
      </c>
      <c r="B34" s="100">
        <f>($B$6*$G$6)+($B$7*$G$7)+($B$8*$G$8)+(($B$9-20000)*$G$9)+($B$10*$G$10)</f>
        <v>408550</v>
      </c>
      <c r="C34" s="95"/>
      <c r="D34" s="95"/>
      <c r="E34" s="100"/>
      <c r="F34" s="95"/>
      <c r="G34" s="95"/>
      <c r="H34" s="95"/>
      <c r="I34" s="95"/>
      <c r="J34" s="95"/>
      <c r="K34" s="95"/>
    </row>
    <row r="35" spans="1:11">
      <c r="A35" s="79" t="s">
        <v>301</v>
      </c>
      <c r="B35" s="62">
        <f>($B$6*$H$6)+($B$7*$H$7)+($B$8*$H$8)+(($B$9-20000)*$H$9)+($B$10*$H$10)</f>
        <v>130000</v>
      </c>
      <c r="C35" s="95"/>
      <c r="D35" s="95"/>
      <c r="E35" s="95"/>
      <c r="F35" s="95"/>
      <c r="G35" s="95"/>
      <c r="H35" s="95"/>
      <c r="I35" s="95"/>
      <c r="J35" s="95"/>
      <c r="K35" s="95"/>
    </row>
    <row r="36" spans="1:11">
      <c r="A36" s="78" t="s">
        <v>274</v>
      </c>
      <c r="B36" s="101">
        <f>B32-B33-B34-B35</f>
        <v>976750</v>
      </c>
      <c r="C36" s="95"/>
      <c r="D36" s="95"/>
      <c r="E36" s="95"/>
      <c r="F36" s="95"/>
      <c r="G36" s="95"/>
      <c r="H36" s="95"/>
      <c r="I36" s="95"/>
      <c r="J36" s="95"/>
      <c r="K36" s="95"/>
    </row>
    <row r="37" spans="1:11">
      <c r="A37" s="78"/>
      <c r="B37" s="95"/>
      <c r="C37" s="95"/>
      <c r="D37" s="95"/>
      <c r="E37" s="95"/>
      <c r="F37" s="100"/>
      <c r="G37" s="95"/>
      <c r="H37" s="95"/>
      <c r="I37" s="95"/>
      <c r="J37" s="95"/>
      <c r="K37" s="95"/>
    </row>
    <row r="38" spans="1:11">
      <c r="A38" s="121" t="s">
        <v>303</v>
      </c>
      <c r="B38" s="100"/>
      <c r="C38" s="95"/>
      <c r="D38" s="95"/>
      <c r="E38" s="95"/>
      <c r="F38" s="100"/>
      <c r="G38" s="95"/>
      <c r="H38" s="95"/>
      <c r="I38" s="95"/>
      <c r="J38" s="95"/>
      <c r="K38" s="95"/>
    </row>
    <row r="39" spans="1:11">
      <c r="A39" s="78" t="s">
        <v>199</v>
      </c>
      <c r="B39" s="100">
        <f>($B$6*$E$6)+($B$7*$E$7)+(($B$8-14280)*$E$8)+($B$9*$E$9)+(($B$10)*$E$10)</f>
        <v>1753920</v>
      </c>
      <c r="C39" s="122"/>
      <c r="D39" s="122"/>
      <c r="E39" s="122"/>
      <c r="F39" s="126"/>
      <c r="G39" s="95"/>
      <c r="H39" s="95"/>
      <c r="I39" s="95"/>
      <c r="J39" s="95"/>
      <c r="K39" s="95"/>
    </row>
    <row r="40" spans="1:11">
      <c r="A40" s="78" t="s">
        <v>299</v>
      </c>
      <c r="B40" s="100">
        <f>($B$6*$F$6)+($B$7*$F$7)+(($B$8-14280)*$F$8)+($B$9*$F$9)+($B$10*$F$10)</f>
        <v>260008</v>
      </c>
      <c r="C40" s="112"/>
      <c r="D40" s="112"/>
      <c r="E40" s="112"/>
      <c r="F40" s="101"/>
      <c r="G40" s="95"/>
      <c r="H40" s="95"/>
      <c r="I40" s="95"/>
      <c r="J40" s="95"/>
      <c r="K40" s="95"/>
    </row>
    <row r="41" spans="1:11">
      <c r="A41" s="78" t="s">
        <v>300</v>
      </c>
      <c r="B41" s="100">
        <f>($B$6*$G$6)+($B$7*$G$7)+(($B$8-14280)*$G$8)+($B$9*$G$9)+($B$10*$G$10)</f>
        <v>390136.8</v>
      </c>
      <c r="C41" s="113"/>
      <c r="D41" s="113"/>
      <c r="E41" s="113"/>
      <c r="F41" s="119"/>
      <c r="G41" s="119"/>
      <c r="H41" s="119"/>
      <c r="I41" s="95"/>
      <c r="J41" s="95"/>
      <c r="K41" s="95"/>
    </row>
    <row r="42" spans="1:11">
      <c r="A42" s="79" t="s">
        <v>301</v>
      </c>
      <c r="B42" s="62">
        <f>($B$6*$H$6)+($B$7*$H$7)+(($B$8-14280)*$H$8)+($B$9*$H$9)+($B$10*$H$10)</f>
        <v>130004</v>
      </c>
      <c r="C42" s="111"/>
      <c r="D42" s="111"/>
      <c r="E42" s="111"/>
      <c r="F42" s="111"/>
      <c r="G42" s="111"/>
      <c r="H42" s="111"/>
      <c r="I42" s="95"/>
      <c r="J42" s="95"/>
      <c r="K42" s="95"/>
    </row>
    <row r="43" spans="1:11">
      <c r="A43" s="78" t="s">
        <v>274</v>
      </c>
      <c r="B43" s="126">
        <f>B39-B40-B41-B42</f>
        <v>973771.2</v>
      </c>
      <c r="C43" s="111"/>
      <c r="D43" s="111"/>
      <c r="E43" s="111"/>
      <c r="F43" s="111"/>
      <c r="G43" s="111"/>
      <c r="H43" s="111"/>
      <c r="I43" s="95"/>
      <c r="J43" s="95"/>
      <c r="K43" s="95"/>
    </row>
    <row r="44" spans="1:11">
      <c r="A44" s="112"/>
      <c r="B44" s="120"/>
      <c r="C44" s="120"/>
      <c r="D44" s="120"/>
      <c r="E44" s="120"/>
      <c r="F44" s="120"/>
      <c r="G44" s="120"/>
      <c r="H44" s="120"/>
      <c r="I44" s="95"/>
      <c r="J44" s="95"/>
      <c r="K44" s="95"/>
    </row>
    <row r="45" spans="1:11" ht="14">
      <c r="A45" s="124" t="s">
        <v>304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</row>
    <row r="46" spans="1:11" ht="14">
      <c r="A46" s="124" t="s">
        <v>305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</row>
    <row r="47" spans="1:11">
      <c r="A47" s="95"/>
      <c r="B47" s="100"/>
      <c r="C47" s="100"/>
      <c r="D47" s="100"/>
      <c r="E47" s="100"/>
      <c r="F47" s="95"/>
      <c r="G47" s="95"/>
      <c r="H47" s="95"/>
      <c r="I47" s="95"/>
      <c r="J47" s="95"/>
      <c r="K47" s="95"/>
    </row>
    <row r="48" spans="1:11">
      <c r="A48" s="78"/>
      <c r="B48" s="100"/>
      <c r="C48" s="100"/>
      <c r="D48" s="100"/>
      <c r="E48" s="100"/>
      <c r="F48" s="95"/>
      <c r="G48" s="95"/>
      <c r="H48" s="95"/>
      <c r="I48" s="95"/>
      <c r="J48" s="95"/>
      <c r="K48" s="95"/>
    </row>
    <row r="49" spans="1:11">
      <c r="A49" s="78"/>
      <c r="B49" s="100"/>
      <c r="C49" s="100"/>
      <c r="D49" s="100"/>
      <c r="E49" s="100"/>
      <c r="F49" s="100"/>
      <c r="G49" s="95"/>
      <c r="H49" s="95"/>
      <c r="I49" s="95"/>
      <c r="J49" s="95"/>
      <c r="K49" s="95"/>
    </row>
    <row r="50" spans="1:11">
      <c r="A50" s="78"/>
      <c r="B50" s="113"/>
      <c r="C50" s="113"/>
      <c r="D50" s="113"/>
      <c r="E50" s="113"/>
      <c r="F50" s="100"/>
      <c r="G50" s="95"/>
      <c r="H50" s="95"/>
      <c r="I50" s="95"/>
      <c r="J50" s="95"/>
      <c r="K50" s="95"/>
    </row>
    <row r="51" spans="1:11">
      <c r="A51" s="78"/>
      <c r="B51" s="111"/>
      <c r="C51" s="100"/>
      <c r="D51" s="100"/>
      <c r="E51" s="100"/>
      <c r="F51" s="100"/>
      <c r="G51" s="95"/>
      <c r="H51" s="95"/>
      <c r="I51" s="95"/>
      <c r="J51" s="95"/>
      <c r="K51" s="95"/>
    </row>
    <row r="52" spans="1:11">
      <c r="A52" s="78"/>
      <c r="B52" s="111"/>
      <c r="C52" s="100"/>
      <c r="D52" s="100"/>
      <c r="E52" s="100"/>
      <c r="F52" s="100"/>
      <c r="G52" s="95"/>
      <c r="H52" s="95"/>
      <c r="I52" s="95"/>
      <c r="J52" s="95"/>
      <c r="K52" s="95"/>
    </row>
    <row r="53" spans="1:11">
      <c r="A53" s="78"/>
      <c r="B53" s="111"/>
      <c r="C53" s="100"/>
      <c r="D53" s="100"/>
      <c r="E53" s="100"/>
      <c r="F53" s="100"/>
      <c r="G53" s="95"/>
      <c r="H53" s="95"/>
      <c r="I53" s="95"/>
      <c r="J53" s="95"/>
      <c r="K53" s="95"/>
    </row>
    <row r="54" spans="1:11">
      <c r="A54" s="80"/>
      <c r="B54" s="112"/>
      <c r="C54" s="112"/>
      <c r="D54" s="112"/>
      <c r="E54" s="101"/>
      <c r="F54" s="101"/>
      <c r="G54" s="95"/>
      <c r="H54" s="95"/>
      <c r="I54" s="95"/>
      <c r="J54" s="95"/>
      <c r="K54" s="95"/>
    </row>
    <row r="55" spans="1:1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</row>
    <row r="56" spans="1:11">
      <c r="A56" s="80"/>
      <c r="B56" s="95"/>
      <c r="C56" s="95"/>
      <c r="D56" s="95"/>
      <c r="E56" s="95"/>
      <c r="F56" s="95"/>
      <c r="G56" s="95"/>
      <c r="H56" s="95"/>
      <c r="I56" s="95"/>
      <c r="J56" s="95"/>
      <c r="K56" s="95"/>
    </row>
    <row r="57" spans="1:1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</row>
    <row r="58" spans="1:11">
      <c r="A58" s="121"/>
      <c r="B58" s="95"/>
      <c r="C58" s="95"/>
      <c r="D58" s="95"/>
      <c r="E58" s="95"/>
      <c r="F58" s="95"/>
      <c r="G58" s="95"/>
      <c r="H58" s="95"/>
      <c r="I58" s="95"/>
      <c r="J58" s="95"/>
      <c r="K58" s="95"/>
    </row>
    <row r="59" spans="1:11">
      <c r="A59" s="122"/>
      <c r="B59" s="95"/>
      <c r="C59" s="95"/>
      <c r="D59" s="95"/>
      <c r="E59" s="95"/>
      <c r="F59" s="95"/>
      <c r="G59" s="95"/>
      <c r="H59" s="95"/>
      <c r="I59" s="95"/>
      <c r="J59" s="95"/>
      <c r="K59" s="95"/>
    </row>
    <row r="60" spans="1:11">
      <c r="A60" s="121"/>
      <c r="B60" s="95"/>
      <c r="C60" s="95"/>
      <c r="D60" s="95"/>
      <c r="E60" s="95"/>
      <c r="F60" s="95"/>
      <c r="G60" s="95"/>
      <c r="H60" s="95"/>
      <c r="I60" s="95"/>
      <c r="J60" s="95"/>
      <c r="K60" s="95"/>
    </row>
    <row r="61" spans="1:11">
      <c r="A61" s="95"/>
      <c r="B61" s="113"/>
      <c r="C61" s="113"/>
      <c r="D61" s="113"/>
      <c r="E61" s="113"/>
      <c r="F61" s="119"/>
      <c r="G61" s="119"/>
      <c r="H61" s="119"/>
      <c r="I61" s="95"/>
      <c r="J61" s="95"/>
      <c r="K61" s="95"/>
    </row>
    <row r="62" spans="1:11">
      <c r="A62" s="78"/>
      <c r="B62" s="100"/>
      <c r="C62" s="100"/>
      <c r="D62" s="100"/>
      <c r="E62" s="100"/>
      <c r="F62" s="95"/>
      <c r="G62" s="120"/>
      <c r="H62" s="120"/>
      <c r="I62" s="95"/>
      <c r="J62" s="95"/>
      <c r="K62" s="95"/>
    </row>
    <row r="63" spans="1:11">
      <c r="A63" s="78"/>
      <c r="B63" s="100"/>
      <c r="C63" s="100"/>
      <c r="D63" s="100"/>
      <c r="E63" s="100"/>
      <c r="F63" s="100"/>
      <c r="G63" s="111"/>
      <c r="H63" s="111"/>
      <c r="I63" s="95"/>
      <c r="J63" s="95"/>
      <c r="K63" s="95"/>
    </row>
    <row r="64" spans="1:11">
      <c r="A64" s="78"/>
      <c r="B64" s="113"/>
      <c r="C64" s="113"/>
      <c r="D64" s="113"/>
      <c r="E64" s="113"/>
      <c r="F64" s="100"/>
      <c r="G64" s="123"/>
      <c r="H64" s="123"/>
      <c r="I64" s="95"/>
      <c r="J64" s="95"/>
      <c r="K64" s="95"/>
    </row>
    <row r="65" spans="1:11">
      <c r="A65" s="78"/>
      <c r="B65" s="111"/>
      <c r="C65" s="100"/>
      <c r="D65" s="100"/>
      <c r="E65" s="100"/>
      <c r="F65" s="100"/>
      <c r="G65" s="95"/>
      <c r="H65" s="95"/>
      <c r="I65" s="95"/>
      <c r="J65" s="95"/>
      <c r="K65" s="95"/>
    </row>
    <row r="66" spans="1:11">
      <c r="A66" s="78"/>
      <c r="B66" s="111"/>
      <c r="C66" s="100"/>
      <c r="D66" s="100"/>
      <c r="E66" s="100"/>
      <c r="F66" s="100"/>
      <c r="G66" s="95"/>
      <c r="H66" s="95"/>
      <c r="I66" s="95"/>
      <c r="J66" s="95"/>
      <c r="K66" s="95"/>
    </row>
    <row r="67" spans="1:11">
      <c r="A67" s="78"/>
      <c r="B67" s="111"/>
      <c r="C67" s="100"/>
      <c r="D67" s="100"/>
      <c r="E67" s="100"/>
      <c r="F67" s="100"/>
      <c r="G67" s="95"/>
      <c r="H67" s="95"/>
      <c r="I67" s="95"/>
      <c r="J67" s="95"/>
      <c r="K67" s="95"/>
    </row>
    <row r="68" spans="1:11">
      <c r="A68" s="80"/>
      <c r="B68" s="112"/>
      <c r="C68" s="112"/>
      <c r="D68" s="112"/>
      <c r="E68" s="101"/>
      <c r="F68" s="101"/>
      <c r="G68" s="95"/>
      <c r="H68" s="95"/>
      <c r="I68" s="95"/>
      <c r="J68" s="95"/>
      <c r="K68" s="95"/>
    </row>
    <row r="69" spans="1:1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</row>
    <row r="70" spans="1:11" ht="14">
      <c r="A70" s="124"/>
      <c r="B70" s="95"/>
      <c r="C70" s="95"/>
      <c r="D70" s="95"/>
      <c r="E70" s="95"/>
      <c r="F70" s="95"/>
      <c r="G70" s="95"/>
      <c r="H70" s="95"/>
      <c r="I70" s="95"/>
      <c r="J70" s="95"/>
      <c r="K70" s="95"/>
    </row>
    <row r="71" spans="1:1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</row>
    <row r="72" spans="1:1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</row>
    <row r="73" spans="1:1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</row>
    <row r="74" spans="1:1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</row>
    <row r="75" spans="1:1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</row>
    <row r="76" spans="1:1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</row>
    <row r="77" spans="1:1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</row>
    <row r="78" spans="1:1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</row>
    <row r="79" spans="1:11">
      <c r="A79" s="112"/>
      <c r="B79" s="95"/>
      <c r="C79" s="95"/>
      <c r="D79" s="95"/>
      <c r="E79" s="95"/>
      <c r="F79" s="95"/>
      <c r="G79" s="95"/>
      <c r="H79" s="95"/>
      <c r="I79" s="95"/>
      <c r="J79" s="95"/>
      <c r="K79" s="95"/>
    </row>
    <row r="80" spans="1:1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</row>
    <row r="81" spans="1:11">
      <c r="A81" s="125"/>
      <c r="B81" s="95"/>
      <c r="C81" s="95"/>
      <c r="D81" s="95"/>
      <c r="E81" s="95"/>
      <c r="F81" s="95"/>
      <c r="G81" s="95"/>
      <c r="H81" s="95"/>
      <c r="I81" s="95"/>
      <c r="J81" s="95"/>
      <c r="K81" s="95"/>
    </row>
    <row r="82" spans="1:1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</row>
    <row r="83" spans="1:11">
      <c r="A83" s="95"/>
      <c r="B83" s="113"/>
      <c r="C83" s="113"/>
      <c r="D83" s="113"/>
      <c r="E83" s="113"/>
      <c r="F83" s="119"/>
      <c r="G83" s="119"/>
      <c r="H83" s="119"/>
      <c r="I83" s="95"/>
      <c r="J83" s="95"/>
      <c r="K83" s="95"/>
    </row>
    <row r="84" spans="1:11">
      <c r="A84" s="112"/>
      <c r="B84" s="123"/>
      <c r="C84" s="123"/>
      <c r="D84" s="123"/>
      <c r="E84" s="123"/>
      <c r="F84" s="123"/>
      <c r="G84" s="111"/>
      <c r="H84" s="101"/>
      <c r="I84" s="95"/>
      <c r="J84" s="95"/>
      <c r="K84" s="95"/>
    </row>
    <row r="85" spans="1:11">
      <c r="A85" s="95"/>
      <c r="B85" s="120"/>
      <c r="C85" s="120"/>
      <c r="D85" s="120"/>
      <c r="E85" s="120"/>
      <c r="F85" s="120"/>
      <c r="G85" s="120"/>
      <c r="H85" s="100"/>
      <c r="I85" s="95"/>
      <c r="J85" s="95"/>
      <c r="K85" s="95"/>
    </row>
    <row r="86" spans="1:11">
      <c r="A86" s="122"/>
      <c r="B86" s="123"/>
      <c r="C86" s="123"/>
      <c r="D86" s="123"/>
      <c r="E86" s="123"/>
      <c r="F86" s="123"/>
      <c r="G86" s="111"/>
      <c r="H86" s="126"/>
      <c r="I86" s="95"/>
      <c r="J86" s="95"/>
      <c r="K86" s="95"/>
    </row>
    <row r="87" spans="1:1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</row>
    <row r="88" spans="1:1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</row>
    <row r="89" spans="1:1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</row>
    <row r="90" spans="1:1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</row>
    <row r="91" spans="1:1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</row>
    <row r="92" spans="1:11">
      <c r="A92" s="95"/>
      <c r="B92" s="95"/>
      <c r="C92" s="95"/>
      <c r="D92" s="95"/>
      <c r="E92" s="95"/>
      <c r="F92" s="95"/>
      <c r="G92" s="95"/>
      <c r="H92" s="95"/>
      <c r="I92" s="95"/>
      <c r="J92" s="95"/>
    </row>
    <row r="93" spans="1:11">
      <c r="A93" s="95"/>
      <c r="B93" s="95"/>
      <c r="C93" s="95"/>
      <c r="D93" s="95"/>
      <c r="E93" s="95"/>
      <c r="F93" s="95"/>
      <c r="G93" s="95"/>
      <c r="H93" s="95"/>
      <c r="I93" s="95"/>
      <c r="J93" s="95"/>
    </row>
    <row r="94" spans="1:11">
      <c r="A94" s="95"/>
      <c r="B94" s="95"/>
      <c r="C94" s="95"/>
      <c r="D94" s="95"/>
      <c r="E94" s="95"/>
      <c r="F94" s="95"/>
      <c r="G94" s="95"/>
      <c r="H94" s="95"/>
      <c r="I94" s="95"/>
      <c r="J94" s="95"/>
    </row>
    <row r="95" spans="1:11">
      <c r="A95" s="95"/>
      <c r="B95" s="95"/>
      <c r="C95" s="95"/>
      <c r="D95" s="95"/>
      <c r="E95" s="95"/>
      <c r="F95" s="95"/>
      <c r="G95" s="95"/>
      <c r="H95" s="95"/>
      <c r="I95" s="95"/>
      <c r="J95" s="95"/>
    </row>
    <row r="96" spans="1:11">
      <c r="A96" s="95"/>
      <c r="B96" s="95"/>
      <c r="C96" s="95"/>
      <c r="D96" s="95"/>
      <c r="E96" s="95"/>
      <c r="F96" s="95"/>
      <c r="G96" s="95"/>
      <c r="H96" s="95"/>
      <c r="I96" s="95"/>
      <c r="J96" s="95"/>
    </row>
    <row r="97" spans="1:10">
      <c r="A97" s="95"/>
      <c r="B97" s="95"/>
      <c r="C97" s="95"/>
      <c r="D97" s="95"/>
      <c r="E97" s="95"/>
      <c r="F97" s="95"/>
      <c r="G97" s="95"/>
      <c r="H97" s="95"/>
      <c r="I97" s="95"/>
      <c r="J97" s="95"/>
    </row>
    <row r="98" spans="1:10">
      <c r="A98" s="95"/>
      <c r="B98" s="95"/>
      <c r="C98" s="95"/>
      <c r="D98" s="95"/>
      <c r="E98" s="95"/>
      <c r="F98" s="95"/>
      <c r="G98" s="95"/>
      <c r="H98" s="95"/>
      <c r="I98" s="95"/>
      <c r="J98" s="95"/>
    </row>
    <row r="99" spans="1:10">
      <c r="A99" s="95"/>
      <c r="B99" s="95"/>
      <c r="C99" s="95"/>
      <c r="D99" s="95"/>
      <c r="E99" s="95"/>
      <c r="F99" s="95"/>
      <c r="G99" s="95"/>
      <c r="H99" s="95"/>
      <c r="I99" s="95"/>
      <c r="J99" s="95"/>
    </row>
    <row r="100" spans="1:10">
      <c r="A100" s="95"/>
      <c r="B100" s="95"/>
      <c r="C100" s="95"/>
      <c r="D100" s="95"/>
      <c r="E100" s="95"/>
      <c r="F100" s="95"/>
      <c r="G100" s="95"/>
      <c r="H100" s="95"/>
      <c r="I100" s="95"/>
      <c r="J100" s="95"/>
    </row>
    <row r="101" spans="1:10">
      <c r="A101" s="95"/>
      <c r="B101" s="95"/>
      <c r="C101" s="95"/>
      <c r="D101" s="95"/>
      <c r="E101" s="95"/>
      <c r="F101" s="95"/>
      <c r="G101" s="95"/>
      <c r="H101" s="95"/>
      <c r="I101" s="95"/>
      <c r="J101" s="95"/>
    </row>
    <row r="102" spans="1:10">
      <c r="A102" s="95"/>
      <c r="B102" s="95"/>
      <c r="C102" s="95"/>
      <c r="D102" s="95"/>
      <c r="E102" s="95"/>
      <c r="F102" s="95"/>
      <c r="G102" s="95"/>
      <c r="H102" s="95"/>
      <c r="I102" s="95"/>
      <c r="J102" s="95"/>
    </row>
    <row r="103" spans="1:10">
      <c r="A103" s="95"/>
      <c r="B103" s="95"/>
      <c r="C103" s="95"/>
      <c r="D103" s="95"/>
      <c r="E103" s="95"/>
      <c r="F103" s="95"/>
      <c r="G103" s="95"/>
      <c r="H103" s="95"/>
      <c r="I103" s="95"/>
      <c r="J103" s="95"/>
    </row>
    <row r="104" spans="1:10">
      <c r="A104" s="95"/>
      <c r="B104" s="95"/>
      <c r="C104" s="95"/>
      <c r="D104" s="95"/>
      <c r="E104" s="95"/>
      <c r="F104" s="95"/>
      <c r="G104" s="95"/>
      <c r="H104" s="95"/>
      <c r="I104" s="95"/>
      <c r="J104" s="95"/>
    </row>
    <row r="105" spans="1:10">
      <c r="A105" s="95"/>
      <c r="B105" s="95"/>
      <c r="C105" s="95"/>
      <c r="D105" s="95"/>
      <c r="E105" s="95"/>
      <c r="F105" s="95"/>
      <c r="G105" s="95"/>
      <c r="H105" s="95"/>
      <c r="I105" s="95"/>
      <c r="J105" s="95"/>
    </row>
    <row r="106" spans="1:10">
      <c r="A106" s="95"/>
      <c r="B106" s="95"/>
      <c r="C106" s="95"/>
      <c r="D106" s="95"/>
      <c r="E106" s="95"/>
      <c r="F106" s="95"/>
      <c r="G106" s="95"/>
      <c r="H106" s="95"/>
      <c r="I106" s="95"/>
      <c r="J106" s="95"/>
    </row>
    <row r="107" spans="1:10">
      <c r="A107" s="95"/>
      <c r="B107" s="95"/>
      <c r="C107" s="95"/>
      <c r="D107" s="95"/>
      <c r="E107" s="95"/>
      <c r="F107" s="95"/>
      <c r="G107" s="95"/>
      <c r="H107" s="95"/>
      <c r="I107" s="95"/>
      <c r="J107" s="95"/>
    </row>
    <row r="108" spans="1:10">
      <c r="A108" s="95"/>
      <c r="B108" s="95"/>
      <c r="C108" s="95"/>
      <c r="D108" s="95"/>
      <c r="E108" s="95"/>
      <c r="F108" s="95"/>
      <c r="G108" s="95"/>
      <c r="H108" s="95"/>
      <c r="I108" s="95"/>
      <c r="J108" s="95"/>
    </row>
    <row r="109" spans="1:10">
      <c r="A109" s="95"/>
      <c r="B109" s="95"/>
      <c r="C109" s="95"/>
      <c r="D109" s="95"/>
      <c r="E109" s="95"/>
      <c r="F109" s="95"/>
      <c r="G109" s="95"/>
      <c r="H109" s="95"/>
      <c r="I109" s="95"/>
      <c r="J109" s="95"/>
    </row>
    <row r="110" spans="1:10">
      <c r="A110" s="95"/>
      <c r="B110" s="95"/>
      <c r="C110" s="95"/>
      <c r="D110" s="95"/>
      <c r="E110" s="95"/>
      <c r="F110" s="95"/>
      <c r="G110" s="95"/>
      <c r="H110" s="95"/>
      <c r="I110" s="95"/>
      <c r="J110" s="95"/>
    </row>
    <row r="111" spans="1:10">
      <c r="A111" s="95"/>
      <c r="B111" s="95"/>
      <c r="C111" s="95"/>
      <c r="D111" s="95"/>
      <c r="E111" s="95"/>
      <c r="F111" s="95"/>
      <c r="G111" s="95"/>
      <c r="H111" s="95"/>
      <c r="I111" s="95"/>
      <c r="J111" s="95"/>
    </row>
    <row r="112" spans="1:10">
      <c r="A112" s="95"/>
      <c r="B112" s="95"/>
      <c r="C112" s="95"/>
      <c r="D112" s="95"/>
      <c r="E112" s="95"/>
      <c r="F112" s="95"/>
      <c r="G112" s="95"/>
      <c r="H112" s="95"/>
      <c r="I112" s="95"/>
      <c r="J112" s="95"/>
    </row>
    <row r="113" spans="1:10">
      <c r="A113" s="95"/>
      <c r="B113" s="95"/>
      <c r="C113" s="95"/>
      <c r="D113" s="95"/>
      <c r="E113" s="95"/>
      <c r="F113" s="95"/>
      <c r="G113" s="95"/>
      <c r="H113" s="95"/>
      <c r="I113" s="95"/>
      <c r="J113" s="95"/>
    </row>
    <row r="114" spans="1:10">
      <c r="A114" s="95"/>
      <c r="B114" s="95"/>
      <c r="C114" s="95"/>
      <c r="D114" s="95"/>
      <c r="E114" s="95"/>
      <c r="F114" s="95"/>
      <c r="G114" s="95"/>
      <c r="H114" s="95"/>
      <c r="I114" s="95"/>
      <c r="J114" s="95"/>
    </row>
    <row r="115" spans="1:10">
      <c r="A115" s="95"/>
      <c r="B115" s="95"/>
      <c r="C115" s="95"/>
      <c r="D115" s="95"/>
      <c r="E115" s="95"/>
      <c r="F115" s="95"/>
      <c r="G115" s="95"/>
      <c r="H115" s="95"/>
      <c r="I115" s="95"/>
      <c r="J115" s="95"/>
    </row>
    <row r="116" spans="1:10">
      <c r="A116" s="95"/>
      <c r="B116" s="95"/>
      <c r="C116" s="95"/>
      <c r="D116" s="95"/>
      <c r="E116" s="95"/>
      <c r="F116" s="95"/>
      <c r="G116" s="95"/>
      <c r="H116" s="95"/>
      <c r="I116" s="95"/>
      <c r="J116" s="95"/>
    </row>
    <row r="117" spans="1:10">
      <c r="A117" s="95"/>
      <c r="B117" s="95"/>
      <c r="C117" s="95"/>
      <c r="D117" s="95"/>
      <c r="E117" s="95"/>
      <c r="F117" s="95"/>
      <c r="G117" s="95"/>
      <c r="H117" s="95"/>
      <c r="I117" s="95"/>
      <c r="J117" s="95"/>
    </row>
  </sheetData>
  <pageMargins left="0.78740157499999996" right="0.78740157499999996" top="0.984251969" bottom="0.984251969" header="0.49212598499999999" footer="0.49212598499999999"/>
  <pageSetup orientation="landscape" horizontalDpi="12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QUADRO</vt:lpstr>
      <vt:lpstr>AV AH Indices</vt:lpstr>
      <vt:lpstr>GAO</vt:lpstr>
      <vt:lpstr>GAF</vt:lpstr>
      <vt:lpstr>GAT</vt:lpstr>
      <vt:lpstr>Cálculo das NCG</vt:lpstr>
      <vt:lpstr>Ponto de equilíbrio</vt:lpstr>
      <vt:lpstr>Regras de Investimento</vt:lpstr>
      <vt:lpstr>Avaliação de Projetos</vt:lpstr>
      <vt:lpstr>FCFE-FCFF</vt:lpstr>
      <vt:lpstr>Custeamento</vt:lpstr>
      <vt:lpstr>Decisão sem restrição</vt:lpstr>
      <vt:lpstr>Decisão com restrição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Perobelli</dc:creator>
  <cp:lastModifiedBy>Microsoft Office User</cp:lastModifiedBy>
  <cp:lastPrinted>2006-03-31T04:31:31Z</cp:lastPrinted>
  <dcterms:created xsi:type="dcterms:W3CDTF">2005-04-10T13:29:37Z</dcterms:created>
  <dcterms:modified xsi:type="dcterms:W3CDTF">2026-10-06T22:51:37Z</dcterms:modified>
</cp:coreProperties>
</file>