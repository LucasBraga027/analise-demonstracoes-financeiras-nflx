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ocumentos\UFJF\Elaboração e análise de projetos\analise-demonstracoes-financeiras-nflx\"/>
    </mc:Choice>
  </mc:AlternateContent>
  <xr:revisionPtr revIDLastSave="0" documentId="13_ncr:1_{FB8AE25C-B845-4BAE-8929-4055CA41C552}" xr6:coauthVersionLast="47" xr6:coauthVersionMax="47" xr10:uidLastSave="{00000000-0000-0000-0000-000000000000}"/>
  <bookViews>
    <workbookView xWindow="-108" yWindow="-108" windowWidth="23256" windowHeight="12456" xr2:uid="{00000000-000D-0000-FFFF-FFFF00000000}"/>
  </bookViews>
  <sheets>
    <sheet name="LEIA-ME" sheetId="1" r:id="rId1"/>
    <sheet name="Graficos" sheetId="2" r:id="rId2"/>
    <sheet name="DRE" sheetId="3" r:id="rId3"/>
    <sheet name="BP" sheetId="4" r:id="rId4"/>
    <sheet name="DFC" sheetId="5" r:id="rId5"/>
    <sheet name="AV" sheetId="6" r:id="rId6"/>
    <sheet name="AH" sheetId="7" r:id="rId7"/>
    <sheet name="AH_Anual" sheetId="8" r:id="rId8"/>
    <sheet name="Indicadores" sheetId="9" r:id="rId9"/>
    <sheet name="Regioes" sheetId="10" r:id="rId10"/>
    <sheet name="Macro" sheetId="11" r:id="rId11"/>
    <sheet name="Setor" sheetId="12" r:id="rId12"/>
    <sheet name="Variacoes_Bruscas" sheetId="13" r:id="rId13"/>
    <sheet name="Validacao" sheetId="14" r:id="rId14"/>
    <sheet name="Fontes"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5" i="12" l="1"/>
  <c r="G35" i="12"/>
  <c r="F35" i="12"/>
  <c r="E35" i="12"/>
  <c r="D35" i="12"/>
  <c r="C35" i="12"/>
  <c r="B35"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3" i="12"/>
  <c r="G23" i="12"/>
  <c r="F23" i="12"/>
  <c r="E23" i="12"/>
  <c r="D23" i="12"/>
  <c r="C23" i="12"/>
  <c r="H22" i="12"/>
  <c r="G22" i="12"/>
  <c r="F22" i="12"/>
  <c r="E22" i="12"/>
  <c r="D22" i="12"/>
  <c r="C22" i="12"/>
  <c r="H21" i="12"/>
  <c r="G21" i="12"/>
  <c r="F21" i="12"/>
  <c r="E21" i="12"/>
  <c r="D21" i="12"/>
  <c r="C21" i="12"/>
  <c r="H20" i="12"/>
  <c r="G20" i="12"/>
  <c r="F20" i="12"/>
  <c r="E20" i="12"/>
  <c r="D20" i="12"/>
  <c r="C20" i="12"/>
  <c r="H19" i="12"/>
  <c r="G19" i="12"/>
  <c r="F19" i="12"/>
  <c r="E19" i="12"/>
  <c r="D19" i="12"/>
  <c r="C19" i="12"/>
  <c r="AF24" i="11"/>
  <c r="AE24" i="11"/>
  <c r="AD24" i="11"/>
  <c r="AC24" i="11"/>
  <c r="AB24" i="11"/>
  <c r="AA24" i="11"/>
  <c r="Z24" i="11"/>
  <c r="Y24" i="11"/>
  <c r="X24" i="11"/>
  <c r="W24" i="11"/>
  <c r="V24" i="11"/>
  <c r="U24" i="11"/>
  <c r="T24" i="11"/>
  <c r="S24" i="11"/>
  <c r="R24" i="11"/>
  <c r="Q24" i="11"/>
  <c r="P24" i="11"/>
  <c r="O24" i="11"/>
  <c r="N24" i="11"/>
  <c r="M24" i="11"/>
  <c r="L24" i="11"/>
  <c r="K24" i="11"/>
  <c r="J24" i="11"/>
  <c r="I24" i="11"/>
  <c r="H24" i="11"/>
  <c r="G24" i="11"/>
  <c r="F24" i="11"/>
  <c r="E24" i="11"/>
  <c r="D24" i="11"/>
  <c r="C24" i="11"/>
  <c r="AF21" i="11"/>
  <c r="AE21" i="11"/>
  <c r="AD21" i="11"/>
  <c r="AC21" i="11"/>
  <c r="AB21" i="11"/>
  <c r="AA21" i="11"/>
  <c r="Z21" i="11"/>
  <c r="Y21" i="11"/>
  <c r="X21" i="11"/>
  <c r="W21" i="11"/>
  <c r="V21" i="11"/>
  <c r="U21" i="11"/>
  <c r="T21" i="11"/>
  <c r="S21" i="11"/>
  <c r="R21" i="11"/>
  <c r="Q21" i="11"/>
  <c r="P21" i="11"/>
  <c r="O21" i="11"/>
  <c r="N21" i="11"/>
  <c r="M21" i="11"/>
  <c r="L21" i="11"/>
  <c r="K21" i="11"/>
  <c r="J21" i="11"/>
  <c r="I21" i="11"/>
  <c r="H21" i="11"/>
  <c r="G21" i="11"/>
  <c r="AF37" i="10"/>
  <c r="AE37" i="10"/>
  <c r="AD37" i="10"/>
  <c r="AC37" i="10"/>
  <c r="AB37" i="10"/>
  <c r="AA37" i="10"/>
  <c r="Z37" i="10"/>
  <c r="Y37" i="10"/>
  <c r="X37" i="10"/>
  <c r="W37" i="10"/>
  <c r="V37" i="10"/>
  <c r="U37" i="10"/>
  <c r="T37" i="10"/>
  <c r="S37" i="10"/>
  <c r="R37" i="10"/>
  <c r="Q37" i="10"/>
  <c r="P37" i="10"/>
  <c r="O37" i="10"/>
  <c r="N37" i="10"/>
  <c r="M37" i="10"/>
  <c r="L37" i="10"/>
  <c r="K37" i="10"/>
  <c r="J37" i="10"/>
  <c r="I37" i="10"/>
  <c r="H37" i="10"/>
  <c r="G37" i="10"/>
  <c r="F37" i="10"/>
  <c r="E37" i="10"/>
  <c r="D37"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G36" i="10"/>
  <c r="F36" i="10"/>
  <c r="E36" i="10"/>
  <c r="D36"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D35"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G34" i="10"/>
  <c r="F34" i="10"/>
  <c r="E34" i="10"/>
  <c r="D34" i="10"/>
  <c r="AF30" i="10"/>
  <c r="AF31" i="10" s="1"/>
  <c r="AE30" i="10"/>
  <c r="AE31" i="10" s="1"/>
  <c r="AD30" i="10"/>
  <c r="AD31" i="10" s="1"/>
  <c r="AC30" i="10"/>
  <c r="AC31" i="10" s="1"/>
  <c r="AB30" i="10"/>
  <c r="AB31" i="10" s="1"/>
  <c r="AA30" i="10"/>
  <c r="AA31" i="10" s="1"/>
  <c r="Z30" i="10"/>
  <c r="Y30" i="10"/>
  <c r="Y31" i="10" s="1"/>
  <c r="X30" i="10"/>
  <c r="X31" i="10" s="1"/>
  <c r="W30" i="10"/>
  <c r="V30" i="10"/>
  <c r="U30" i="10"/>
  <c r="U31" i="10" s="1"/>
  <c r="T30" i="10"/>
  <c r="S30" i="10"/>
  <c r="R30" i="10"/>
  <c r="Q30" i="10"/>
  <c r="P30" i="10"/>
  <c r="O30" i="10"/>
  <c r="N30" i="10"/>
  <c r="M30" i="10"/>
  <c r="M31" i="10" s="1"/>
  <c r="L30" i="10"/>
  <c r="L31" i="10" s="1"/>
  <c r="K30" i="10"/>
  <c r="J30" i="10"/>
  <c r="I30" i="10"/>
  <c r="I31" i="10" s="1"/>
  <c r="H30" i="10"/>
  <c r="G30" i="10"/>
  <c r="F30" i="10"/>
  <c r="E30" i="10"/>
  <c r="D30" i="10"/>
  <c r="C30"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AF21" i="10"/>
  <c r="AF23" i="11" s="1"/>
  <c r="AE21" i="10"/>
  <c r="AE23" i="11" s="1"/>
  <c r="AD21" i="10"/>
  <c r="AD23" i="11" s="1"/>
  <c r="AC21" i="10"/>
  <c r="AC23" i="11" s="1"/>
  <c r="AB21" i="10"/>
  <c r="AB23" i="11" s="1"/>
  <c r="AA21" i="10"/>
  <c r="AA23" i="11" s="1"/>
  <c r="Z21" i="10"/>
  <c r="Z23" i="11" s="1"/>
  <c r="Y21" i="10"/>
  <c r="Y23" i="11" s="1"/>
  <c r="X21" i="10"/>
  <c r="X23" i="11" s="1"/>
  <c r="W21" i="10"/>
  <c r="W23" i="11" s="1"/>
  <c r="V21" i="10"/>
  <c r="V23" i="11" s="1"/>
  <c r="U21" i="10"/>
  <c r="U23" i="11" s="1"/>
  <c r="T21" i="10"/>
  <c r="T23" i="11" s="1"/>
  <c r="S21" i="10"/>
  <c r="S23" i="11" s="1"/>
  <c r="R21" i="10"/>
  <c r="R23" i="11" s="1"/>
  <c r="Q21" i="10"/>
  <c r="Q23" i="11" s="1"/>
  <c r="P21" i="10"/>
  <c r="P23" i="11" s="1"/>
  <c r="O21" i="10"/>
  <c r="O23" i="11" s="1"/>
  <c r="N21" i="10"/>
  <c r="N23" i="11" s="1"/>
  <c r="M21" i="10"/>
  <c r="M23" i="11" s="1"/>
  <c r="L21" i="10"/>
  <c r="L23" i="11" s="1"/>
  <c r="K21" i="10"/>
  <c r="K23" i="11" s="1"/>
  <c r="J21" i="10"/>
  <c r="J23" i="11" s="1"/>
  <c r="I21" i="10"/>
  <c r="I23" i="11" s="1"/>
  <c r="H21" i="10"/>
  <c r="H23" i="11" s="1"/>
  <c r="G21" i="10"/>
  <c r="G23" i="11" s="1"/>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AF15"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C15" i="10"/>
  <c r="AF14"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C14"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AF54" i="9"/>
  <c r="AE54" i="9"/>
  <c r="AD54" i="9"/>
  <c r="AC54" i="9"/>
  <c r="AB54" i="9"/>
  <c r="AA54" i="9"/>
  <c r="Z54" i="9"/>
  <c r="Y54" i="9"/>
  <c r="X54" i="9"/>
  <c r="W54" i="9"/>
  <c r="V54" i="9"/>
  <c r="U54" i="9"/>
  <c r="T54" i="9"/>
  <c r="S54" i="9"/>
  <c r="R54" i="9"/>
  <c r="Q54" i="9"/>
  <c r="P54" i="9"/>
  <c r="O54" i="9"/>
  <c r="N54" i="9"/>
  <c r="M54" i="9"/>
  <c r="L54" i="9"/>
  <c r="K54" i="9"/>
  <c r="J54" i="9"/>
  <c r="I54" i="9"/>
  <c r="H54" i="9"/>
  <c r="G54" i="9"/>
  <c r="F54" i="9"/>
  <c r="E54" i="9"/>
  <c r="D54" i="9"/>
  <c r="C54" i="9"/>
  <c r="AF53" i="9"/>
  <c r="AE53" i="9"/>
  <c r="AD53" i="9"/>
  <c r="AC53" i="9"/>
  <c r="AB53" i="9"/>
  <c r="AA53" i="9"/>
  <c r="Z53" i="9"/>
  <c r="Y53" i="9"/>
  <c r="X53" i="9"/>
  <c r="W53" i="9"/>
  <c r="V53" i="9"/>
  <c r="U53" i="9"/>
  <c r="T53" i="9"/>
  <c r="S53" i="9"/>
  <c r="R53" i="9"/>
  <c r="Q53" i="9"/>
  <c r="P53" i="9"/>
  <c r="O53" i="9"/>
  <c r="N53" i="9"/>
  <c r="M53" i="9"/>
  <c r="L53" i="9"/>
  <c r="K53" i="9"/>
  <c r="J53" i="9"/>
  <c r="I53" i="9"/>
  <c r="H53" i="9"/>
  <c r="G53" i="9"/>
  <c r="F53" i="9"/>
  <c r="E53" i="9"/>
  <c r="D53" i="9"/>
  <c r="C53" i="9"/>
  <c r="Y50" i="9"/>
  <c r="U50" i="9"/>
  <c r="I50" i="9"/>
  <c r="Z47" i="9"/>
  <c r="X47" i="9"/>
  <c r="W47" i="9"/>
  <c r="V47" i="9"/>
  <c r="S47" i="9"/>
  <c r="L47" i="9"/>
  <c r="AF46" i="9"/>
  <c r="AF47" i="9" s="1"/>
  <c r="AE46" i="9"/>
  <c r="AE47" i="9" s="1"/>
  <c r="AD46" i="9"/>
  <c r="AD47" i="9" s="1"/>
  <c r="AC46" i="9"/>
  <c r="AC47" i="9" s="1"/>
  <c r="AB46" i="9"/>
  <c r="AB47" i="9" s="1"/>
  <c r="AA46" i="9"/>
  <c r="AA47" i="9" s="1"/>
  <c r="Z46" i="9"/>
  <c r="Y46" i="9"/>
  <c r="Y47" i="9" s="1"/>
  <c r="X46" i="9"/>
  <c r="W46" i="9"/>
  <c r="V46" i="9"/>
  <c r="U46" i="9"/>
  <c r="U47" i="9" s="1"/>
  <c r="T46" i="9"/>
  <c r="T47" i="9" s="1"/>
  <c r="S46" i="9"/>
  <c r="R46" i="9"/>
  <c r="R47" i="9" s="1"/>
  <c r="Q46" i="9"/>
  <c r="Q47" i="9" s="1"/>
  <c r="P46" i="9"/>
  <c r="P47" i="9" s="1"/>
  <c r="O46" i="9"/>
  <c r="O47" i="9" s="1"/>
  <c r="N46" i="9"/>
  <c r="N47" i="9" s="1"/>
  <c r="M46" i="9"/>
  <c r="M47" i="9" s="1"/>
  <c r="L46" i="9"/>
  <c r="K46" i="9"/>
  <c r="K47" i="9" s="1"/>
  <c r="J46" i="9"/>
  <c r="J47" i="9" s="1"/>
  <c r="I46" i="9"/>
  <c r="I47" i="9" s="1"/>
  <c r="H46" i="9"/>
  <c r="H47" i="9" s="1"/>
  <c r="G46" i="9"/>
  <c r="G47" i="9" s="1"/>
  <c r="F46" i="9"/>
  <c r="F47" i="9" s="1"/>
  <c r="E46" i="9"/>
  <c r="E47" i="9" s="1"/>
  <c r="D46" i="9"/>
  <c r="D47" i="9" s="1"/>
  <c r="C46" i="9"/>
  <c r="C47" i="9" s="1"/>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D45" i="9"/>
  <c r="C45" i="9"/>
  <c r="Z37" i="9"/>
  <c r="N37" i="9"/>
  <c r="J37" i="9"/>
  <c r="AF36" i="9"/>
  <c r="AE36" i="9"/>
  <c r="AD36" i="9"/>
  <c r="AC36" i="9"/>
  <c r="AB36" i="9"/>
  <c r="AA36" i="9"/>
  <c r="Z36" i="9"/>
  <c r="Y36" i="9"/>
  <c r="X36" i="9"/>
  <c r="W36" i="9"/>
  <c r="V36" i="9"/>
  <c r="V37" i="9" s="1"/>
  <c r="U36" i="9"/>
  <c r="T36" i="9"/>
  <c r="S36" i="9"/>
  <c r="R36" i="9"/>
  <c r="Q36" i="9"/>
  <c r="P36" i="9"/>
  <c r="O36" i="9"/>
  <c r="N36" i="9"/>
  <c r="M36" i="9"/>
  <c r="L36" i="9"/>
  <c r="L37" i="9" s="1"/>
  <c r="K36" i="9"/>
  <c r="K37" i="9" s="1"/>
  <c r="J36" i="9"/>
  <c r="I36" i="9"/>
  <c r="H36" i="9"/>
  <c r="G36" i="9"/>
  <c r="F36" i="9"/>
  <c r="E36" i="9"/>
  <c r="D36" i="9"/>
  <c r="C36" i="9"/>
  <c r="AF35" i="9"/>
  <c r="AF37" i="9" s="1"/>
  <c r="AE35" i="9"/>
  <c r="AE37" i="9" s="1"/>
  <c r="AD35" i="9"/>
  <c r="AD37" i="9" s="1"/>
  <c r="AC35" i="9"/>
  <c r="AC37" i="9" s="1"/>
  <c r="AB35" i="9"/>
  <c r="AA35" i="9"/>
  <c r="AA37" i="9" s="1"/>
  <c r="Z35" i="9"/>
  <c r="Y35" i="9"/>
  <c r="X35" i="9"/>
  <c r="W35" i="9"/>
  <c r="V35" i="9"/>
  <c r="U35" i="9"/>
  <c r="T35" i="9"/>
  <c r="T37" i="9" s="1"/>
  <c r="S35" i="9"/>
  <c r="S37" i="9" s="1"/>
  <c r="R35" i="9"/>
  <c r="R37" i="9" s="1"/>
  <c r="Q35" i="9"/>
  <c r="Q37" i="9" s="1"/>
  <c r="P35" i="9"/>
  <c r="O35" i="9"/>
  <c r="O37" i="9" s="1"/>
  <c r="N35" i="9"/>
  <c r="M35" i="9"/>
  <c r="L35" i="9"/>
  <c r="K35" i="9"/>
  <c r="J35" i="9"/>
  <c r="I35" i="9"/>
  <c r="H35" i="9"/>
  <c r="H37" i="9" s="1"/>
  <c r="G35" i="9"/>
  <c r="G37" i="9" s="1"/>
  <c r="F35" i="9"/>
  <c r="F37" i="9" s="1"/>
  <c r="E35" i="9"/>
  <c r="E37" i="9" s="1"/>
  <c r="D35" i="9"/>
  <c r="C35" i="9"/>
  <c r="C37" i="9" s="1"/>
  <c r="AF31"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D30" i="9"/>
  <c r="AF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24" i="9"/>
  <c r="AA22" i="9"/>
  <c r="Z22" i="9"/>
  <c r="S22" i="9"/>
  <c r="P22" i="9"/>
  <c r="O22" i="9"/>
  <c r="AF18" i="9"/>
  <c r="AF50" i="9" s="1"/>
  <c r="AE18" i="9"/>
  <c r="AE50" i="9" s="1"/>
  <c r="AD18" i="9"/>
  <c r="AD50" i="9" s="1"/>
  <c r="AC18" i="9"/>
  <c r="AC50" i="9" s="1"/>
  <c r="AB18" i="9"/>
  <c r="AB50" i="9" s="1"/>
  <c r="AA18" i="9"/>
  <c r="AA50" i="9" s="1"/>
  <c r="Z18" i="9"/>
  <c r="Z50" i="9" s="1"/>
  <c r="Y18" i="9"/>
  <c r="X18" i="9"/>
  <c r="X50" i="9" s="1"/>
  <c r="W18" i="9"/>
  <c r="W50" i="9" s="1"/>
  <c r="V18" i="9"/>
  <c r="V50" i="9" s="1"/>
  <c r="U18" i="9"/>
  <c r="T18" i="9"/>
  <c r="T50" i="9" s="1"/>
  <c r="S18" i="9"/>
  <c r="S50" i="9" s="1"/>
  <c r="R18" i="9"/>
  <c r="R50" i="9" s="1"/>
  <c r="Q18" i="9"/>
  <c r="Q50" i="9" s="1"/>
  <c r="P18" i="9"/>
  <c r="P50" i="9" s="1"/>
  <c r="O18" i="9"/>
  <c r="O50" i="9" s="1"/>
  <c r="N18" i="9"/>
  <c r="N50" i="9" s="1"/>
  <c r="M18" i="9"/>
  <c r="M50" i="9" s="1"/>
  <c r="L18" i="9"/>
  <c r="L50" i="9" s="1"/>
  <c r="K18" i="9"/>
  <c r="K50" i="9" s="1"/>
  <c r="J18" i="9"/>
  <c r="J50" i="9" s="1"/>
  <c r="I18" i="9"/>
  <c r="H18" i="9"/>
  <c r="H50" i="9" s="1"/>
  <c r="G18" i="9"/>
  <c r="G50" i="9" s="1"/>
  <c r="F18" i="9"/>
  <c r="F50" i="9" s="1"/>
  <c r="AF17" i="9"/>
  <c r="AE17" i="9"/>
  <c r="AD17" i="9"/>
  <c r="AC17" i="9"/>
  <c r="AB17" i="9"/>
  <c r="AA17" i="9"/>
  <c r="Z17" i="9"/>
  <c r="Y17" i="9"/>
  <c r="X17" i="9"/>
  <c r="W17" i="9"/>
  <c r="V17" i="9"/>
  <c r="U17" i="9"/>
  <c r="T17" i="9"/>
  <c r="S17" i="9"/>
  <c r="R17" i="9"/>
  <c r="Q17" i="9"/>
  <c r="P17" i="9"/>
  <c r="O17" i="9"/>
  <c r="N17" i="9"/>
  <c r="M17" i="9"/>
  <c r="L17" i="9"/>
  <c r="K17" i="9"/>
  <c r="J17" i="9"/>
  <c r="I17" i="9"/>
  <c r="H17" i="9"/>
  <c r="G17" i="9"/>
  <c r="F17" i="9"/>
  <c r="AF13" i="9"/>
  <c r="AF22" i="9" s="1"/>
  <c r="AE13" i="9"/>
  <c r="AE22" i="9" s="1"/>
  <c r="AD13" i="9"/>
  <c r="AD22" i="9" s="1"/>
  <c r="AC13" i="9"/>
  <c r="AC22" i="9" s="1"/>
  <c r="AB13" i="9"/>
  <c r="AB22" i="9" s="1"/>
  <c r="AA13" i="9"/>
  <c r="Z13" i="9"/>
  <c r="Y13" i="9"/>
  <c r="Y22" i="9" s="1"/>
  <c r="X13" i="9"/>
  <c r="X22" i="9" s="1"/>
  <c r="W13" i="9"/>
  <c r="W22" i="9" s="1"/>
  <c r="V13" i="9"/>
  <c r="V22" i="9" s="1"/>
  <c r="U13" i="9"/>
  <c r="U22" i="9" s="1"/>
  <c r="T13" i="9"/>
  <c r="T22" i="9" s="1"/>
  <c r="S13" i="9"/>
  <c r="R13" i="9"/>
  <c r="R22" i="9" s="1"/>
  <c r="Q13" i="9"/>
  <c r="Q22" i="9" s="1"/>
  <c r="P13" i="9"/>
  <c r="O13" i="9"/>
  <c r="N13" i="9"/>
  <c r="N22" i="9" s="1"/>
  <c r="M13" i="9"/>
  <c r="M22" i="9" s="1"/>
  <c r="L13" i="9"/>
  <c r="L22" i="9" s="1"/>
  <c r="K13" i="9"/>
  <c r="K22" i="9" s="1"/>
  <c r="J13" i="9"/>
  <c r="J22" i="9" s="1"/>
  <c r="I13" i="9"/>
  <c r="I22" i="9" s="1"/>
  <c r="H13" i="9"/>
  <c r="H22" i="9" s="1"/>
  <c r="G13" i="9"/>
  <c r="G22" i="9" s="1"/>
  <c r="F13" i="9"/>
  <c r="F22" i="9" s="1"/>
  <c r="F50" i="8"/>
  <c r="H47" i="8"/>
  <c r="G47" i="8"/>
  <c r="F47" i="8"/>
  <c r="I37" i="8"/>
  <c r="H37" i="8"/>
  <c r="G32" i="8"/>
  <c r="F32" i="8"/>
  <c r="E32" i="8"/>
  <c r="D32" i="8"/>
  <c r="K28" i="8"/>
  <c r="J28" i="8"/>
  <c r="I28" i="8"/>
  <c r="H28" i="8"/>
  <c r="G28" i="8"/>
  <c r="F28" i="8"/>
  <c r="E28" i="8"/>
  <c r="D28" i="8"/>
  <c r="C28" i="8"/>
  <c r="K27" i="8"/>
  <c r="J27" i="8"/>
  <c r="I27" i="8"/>
  <c r="I51" i="8" s="1"/>
  <c r="H27" i="8"/>
  <c r="G27" i="8"/>
  <c r="F27" i="8"/>
  <c r="E27" i="8"/>
  <c r="D27" i="8"/>
  <c r="C27" i="8"/>
  <c r="D51" i="8" s="1"/>
  <c r="K26" i="8"/>
  <c r="K50" i="8" s="1"/>
  <c r="J26" i="8"/>
  <c r="I26" i="8"/>
  <c r="H26" i="8"/>
  <c r="G26" i="8"/>
  <c r="G50" i="8" s="1"/>
  <c r="F26" i="8"/>
  <c r="E26" i="8"/>
  <c r="D26" i="8"/>
  <c r="C26" i="8"/>
  <c r="K25" i="8"/>
  <c r="J25" i="8"/>
  <c r="I25" i="8"/>
  <c r="H25" i="8"/>
  <c r="G25" i="8"/>
  <c r="F25" i="8"/>
  <c r="E25" i="8"/>
  <c r="D25" i="8"/>
  <c r="D49" i="8" s="1"/>
  <c r="C25" i="8"/>
  <c r="K24" i="8"/>
  <c r="J24" i="8"/>
  <c r="K48" i="8" s="1"/>
  <c r="I24" i="8"/>
  <c r="H24" i="8"/>
  <c r="G24" i="8"/>
  <c r="F24" i="8"/>
  <c r="F48" i="8" s="1"/>
  <c r="E24" i="8"/>
  <c r="E48" i="8" s="1"/>
  <c r="D24" i="8"/>
  <c r="C24" i="8"/>
  <c r="D48" i="8" s="1"/>
  <c r="K23" i="8"/>
  <c r="J23" i="8"/>
  <c r="I23" i="8"/>
  <c r="I47" i="8" s="1"/>
  <c r="H23" i="8"/>
  <c r="G23" i="8"/>
  <c r="F23" i="8"/>
  <c r="E23" i="8"/>
  <c r="D23" i="8"/>
  <c r="C23" i="8"/>
  <c r="K21" i="8"/>
  <c r="J21" i="8"/>
  <c r="I21" i="8"/>
  <c r="I45" i="8" s="1"/>
  <c r="H21" i="8"/>
  <c r="H45" i="8" s="1"/>
  <c r="G21" i="8"/>
  <c r="F21" i="8"/>
  <c r="F45" i="8" s="1"/>
  <c r="E21" i="8"/>
  <c r="D21" i="8"/>
  <c r="C21" i="8"/>
  <c r="K20" i="8"/>
  <c r="J20" i="8"/>
  <c r="K44" i="8" s="1"/>
  <c r="I20" i="8"/>
  <c r="H20" i="8"/>
  <c r="G20" i="8"/>
  <c r="F20" i="8"/>
  <c r="E20" i="8"/>
  <c r="E44" i="8" s="1"/>
  <c r="D20" i="8"/>
  <c r="C20" i="8"/>
  <c r="K19" i="8"/>
  <c r="J19" i="8"/>
  <c r="I19" i="8"/>
  <c r="I43" i="8" s="1"/>
  <c r="H19" i="8"/>
  <c r="G19" i="8"/>
  <c r="F19" i="8"/>
  <c r="E19" i="8"/>
  <c r="D19" i="8"/>
  <c r="C19" i="8"/>
  <c r="K18" i="8"/>
  <c r="K42" i="8" s="1"/>
  <c r="J18" i="8"/>
  <c r="I18" i="8"/>
  <c r="I42" i="8" s="1"/>
  <c r="H18" i="8"/>
  <c r="G18" i="8"/>
  <c r="F18" i="8"/>
  <c r="F42" i="8" s="1"/>
  <c r="E18" i="8"/>
  <c r="D18" i="8"/>
  <c r="E42" i="8" s="1"/>
  <c r="C18" i="8"/>
  <c r="K16" i="8"/>
  <c r="J16" i="8"/>
  <c r="I16" i="8"/>
  <c r="H16" i="8"/>
  <c r="H40" i="8" s="1"/>
  <c r="G16" i="8"/>
  <c r="G40" i="8" s="1"/>
  <c r="F16" i="8"/>
  <c r="F40" i="8" s="1"/>
  <c r="E16" i="8"/>
  <c r="D16" i="8"/>
  <c r="C16" i="8"/>
  <c r="D40" i="8" s="1"/>
  <c r="K14" i="8"/>
  <c r="J14" i="8"/>
  <c r="I14" i="8"/>
  <c r="H14" i="8"/>
  <c r="G14" i="8"/>
  <c r="F14" i="8"/>
  <c r="E14" i="8"/>
  <c r="E38" i="8" s="1"/>
  <c r="D14" i="8"/>
  <c r="C14" i="8"/>
  <c r="K13" i="8"/>
  <c r="J13" i="8"/>
  <c r="K37" i="8" s="1"/>
  <c r="I13" i="8"/>
  <c r="H13" i="8"/>
  <c r="G13" i="8"/>
  <c r="F13" i="8"/>
  <c r="E13" i="8"/>
  <c r="D13" i="8"/>
  <c r="C13" i="8"/>
  <c r="K8" i="8"/>
  <c r="J8" i="8"/>
  <c r="I8" i="8"/>
  <c r="H8" i="8"/>
  <c r="G8" i="8"/>
  <c r="F8" i="8"/>
  <c r="E8" i="8"/>
  <c r="D8" i="8"/>
  <c r="C8" i="8"/>
  <c r="K7" i="8"/>
  <c r="J7" i="8"/>
  <c r="I7" i="8"/>
  <c r="H7" i="8"/>
  <c r="H31" i="8" s="1"/>
  <c r="G7" i="8"/>
  <c r="G31" i="8" s="1"/>
  <c r="F7" i="8"/>
  <c r="E7" i="8"/>
  <c r="D7" i="8"/>
  <c r="C7" i="8"/>
  <c r="AF55" i="7"/>
  <c r="AE55" i="7"/>
  <c r="AD55" i="7"/>
  <c r="AC55" i="7"/>
  <c r="AB55" i="7"/>
  <c r="AA55" i="7"/>
  <c r="Z55" i="7"/>
  <c r="Y55" i="7"/>
  <c r="X55" i="7"/>
  <c r="W55" i="7"/>
  <c r="V55" i="7"/>
  <c r="U55" i="7"/>
  <c r="T55" i="7"/>
  <c r="S55" i="7"/>
  <c r="R55" i="7"/>
  <c r="Q55" i="7"/>
  <c r="P55" i="7"/>
  <c r="O55" i="7"/>
  <c r="N55" i="7"/>
  <c r="M55" i="7"/>
  <c r="L55" i="7"/>
  <c r="K55" i="7"/>
  <c r="J55" i="7"/>
  <c r="I55" i="7"/>
  <c r="H55" i="7"/>
  <c r="G55" i="7"/>
  <c r="F55" i="7"/>
  <c r="AF54" i="7"/>
  <c r="AE54" i="7"/>
  <c r="AD54" i="7"/>
  <c r="AC54" i="7"/>
  <c r="AB54" i="7"/>
  <c r="AA54" i="7"/>
  <c r="Z54" i="7"/>
  <c r="Y54" i="7"/>
  <c r="X54" i="7"/>
  <c r="W54" i="7"/>
  <c r="V54" i="7"/>
  <c r="U54" i="7"/>
  <c r="T54" i="7"/>
  <c r="S54" i="7"/>
  <c r="R54" i="7"/>
  <c r="Q54" i="7"/>
  <c r="P54" i="7"/>
  <c r="O54" i="7"/>
  <c r="N54" i="7"/>
  <c r="M54" i="7"/>
  <c r="L54" i="7"/>
  <c r="K54" i="7"/>
  <c r="J54" i="7"/>
  <c r="I54" i="7"/>
  <c r="H54" i="7"/>
  <c r="G54" i="7"/>
  <c r="F54" i="7"/>
  <c r="AB50" i="7"/>
  <c r="AA50" i="7"/>
  <c r="AF48" i="7"/>
  <c r="AE48" i="7"/>
  <c r="AD48" i="7"/>
  <c r="AC48" i="7"/>
  <c r="AB48" i="7"/>
  <c r="AA48" i="7"/>
  <c r="Z48" i="7"/>
  <c r="Y48" i="7"/>
  <c r="X48" i="7"/>
  <c r="W48" i="7"/>
  <c r="V48" i="7"/>
  <c r="U48" i="7"/>
  <c r="T48" i="7"/>
  <c r="S48" i="7"/>
  <c r="R48" i="7"/>
  <c r="Q48" i="7"/>
  <c r="P48" i="7"/>
  <c r="O48" i="7"/>
  <c r="N48" i="7"/>
  <c r="M48" i="7"/>
  <c r="L48" i="7"/>
  <c r="K48" i="7"/>
  <c r="J48" i="7"/>
  <c r="I48" i="7"/>
  <c r="H48" i="7"/>
  <c r="G48" i="7"/>
  <c r="F48" i="7"/>
  <c r="AF47" i="7"/>
  <c r="AE47" i="7"/>
  <c r="AD47" i="7"/>
  <c r="AC47" i="7"/>
  <c r="AB47" i="7"/>
  <c r="AA47" i="7"/>
  <c r="Z47" i="7"/>
  <c r="Y47" i="7"/>
  <c r="X47" i="7"/>
  <c r="W47" i="7"/>
  <c r="V47" i="7"/>
  <c r="U47" i="7"/>
  <c r="T47" i="7"/>
  <c r="S47" i="7"/>
  <c r="R47" i="7"/>
  <c r="Q47" i="7"/>
  <c r="P47" i="7"/>
  <c r="O47" i="7"/>
  <c r="N47" i="7"/>
  <c r="M47" i="7"/>
  <c r="L47" i="7"/>
  <c r="K47" i="7"/>
  <c r="J47" i="7"/>
  <c r="I47" i="7"/>
  <c r="H47" i="7"/>
  <c r="G47" i="7"/>
  <c r="F47" i="7"/>
  <c r="AF44" i="7"/>
  <c r="AE44" i="7"/>
  <c r="AD44" i="7"/>
  <c r="AC44" i="7"/>
  <c r="AB44" i="7"/>
  <c r="AA44" i="7"/>
  <c r="Z44" i="7"/>
  <c r="Y44" i="7"/>
  <c r="X44" i="7"/>
  <c r="W44" i="7"/>
  <c r="V44" i="7"/>
  <c r="U44" i="7"/>
  <c r="T44" i="7"/>
  <c r="S44" i="7"/>
  <c r="R44" i="7"/>
  <c r="Q44" i="7"/>
  <c r="P44" i="7"/>
  <c r="O44" i="7"/>
  <c r="N44" i="7"/>
  <c r="M44" i="7"/>
  <c r="L44" i="7"/>
  <c r="K44" i="7"/>
  <c r="J44" i="7"/>
  <c r="I44" i="7"/>
  <c r="H44" i="7"/>
  <c r="G44" i="7"/>
  <c r="F44" i="7"/>
  <c r="E44" i="7"/>
  <c r="D44"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AF42" i="7"/>
  <c r="AE42" i="7"/>
  <c r="AD42" i="7"/>
  <c r="AC42" i="7"/>
  <c r="AB42" i="7"/>
  <c r="AA42" i="7"/>
  <c r="Z42" i="7"/>
  <c r="Y42" i="7"/>
  <c r="X42" i="7"/>
  <c r="W42" i="7"/>
  <c r="V42" i="7"/>
  <c r="U42" i="7"/>
  <c r="T42" i="7"/>
  <c r="S42" i="7"/>
  <c r="R42" i="7"/>
  <c r="Q42" i="7"/>
  <c r="P42" i="7"/>
  <c r="O42" i="7"/>
  <c r="N42" i="7"/>
  <c r="M42" i="7"/>
  <c r="L42" i="7"/>
  <c r="K42" i="7"/>
  <c r="J42" i="7"/>
  <c r="I42" i="7"/>
  <c r="H42" i="7"/>
  <c r="G42" i="7"/>
  <c r="F42" i="7"/>
  <c r="E42" i="7"/>
  <c r="D42" i="7"/>
  <c r="AF41" i="7"/>
  <c r="AE41" i="7"/>
  <c r="AD41" i="7"/>
  <c r="AC41" i="7"/>
  <c r="AB41" i="7"/>
  <c r="AA41" i="7"/>
  <c r="Z41" i="7"/>
  <c r="Y41" i="7"/>
  <c r="X41" i="7"/>
  <c r="W41" i="7"/>
  <c r="V41" i="7"/>
  <c r="U41" i="7"/>
  <c r="T41" i="7"/>
  <c r="S41" i="7"/>
  <c r="R41" i="7"/>
  <c r="Q41" i="7"/>
  <c r="P41" i="7"/>
  <c r="O41" i="7"/>
  <c r="N41" i="7"/>
  <c r="M41" i="7"/>
  <c r="L41" i="7"/>
  <c r="K41" i="7"/>
  <c r="J41" i="7"/>
  <c r="I41" i="7"/>
  <c r="H41" i="7"/>
  <c r="G41" i="7"/>
  <c r="F41" i="7"/>
  <c r="E41" i="7"/>
  <c r="D41" i="7"/>
  <c r="AF40" i="7"/>
  <c r="AE40" i="7"/>
  <c r="AD40" i="7"/>
  <c r="AC40" i="7"/>
  <c r="AB40" i="7"/>
  <c r="AA40" i="7"/>
  <c r="Z40" i="7"/>
  <c r="Y40" i="7"/>
  <c r="X40" i="7"/>
  <c r="W40" i="7"/>
  <c r="V40" i="7"/>
  <c r="U40" i="7"/>
  <c r="T40" i="7"/>
  <c r="S40" i="7"/>
  <c r="R40" i="7"/>
  <c r="Q40" i="7"/>
  <c r="P40" i="7"/>
  <c r="O40" i="7"/>
  <c r="N40" i="7"/>
  <c r="M40" i="7"/>
  <c r="L40" i="7"/>
  <c r="K40" i="7"/>
  <c r="J40" i="7"/>
  <c r="I40" i="7"/>
  <c r="H40" i="7"/>
  <c r="G40" i="7"/>
  <c r="F40" i="7"/>
  <c r="E40" i="7"/>
  <c r="D40" i="7"/>
  <c r="D39"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c r="E38" i="7"/>
  <c r="D38"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AF36" i="7"/>
  <c r="AE36" i="7"/>
  <c r="AD36" i="7"/>
  <c r="L36"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c r="E35" i="7"/>
  <c r="D35"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D33" i="7"/>
  <c r="R30"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E28" i="7"/>
  <c r="D28"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E27" i="7"/>
  <c r="D27" i="7"/>
  <c r="AF24" i="7"/>
  <c r="AE24" i="7"/>
  <c r="AD24" i="7"/>
  <c r="AC24" i="7"/>
  <c r="AB24" i="7"/>
  <c r="AA24" i="7"/>
  <c r="Z24" i="7"/>
  <c r="Y24" i="7"/>
  <c r="X24" i="7"/>
  <c r="W24" i="7"/>
  <c r="V24" i="7"/>
  <c r="U24" i="7"/>
  <c r="T24" i="7"/>
  <c r="S24" i="7"/>
  <c r="R24" i="7"/>
  <c r="Q24" i="7"/>
  <c r="P24" i="7"/>
  <c r="O24" i="7"/>
  <c r="N24" i="7"/>
  <c r="M24" i="7"/>
  <c r="L24" i="7"/>
  <c r="K24" i="7"/>
  <c r="J24" i="7"/>
  <c r="I24" i="7"/>
  <c r="H24" i="7"/>
  <c r="G24" i="7"/>
  <c r="AF23" i="7"/>
  <c r="AE23" i="7"/>
  <c r="AD23" i="7"/>
  <c r="AC23" i="7"/>
  <c r="AB23" i="7"/>
  <c r="AA23" i="7"/>
  <c r="Z23" i="7"/>
  <c r="Y23" i="7"/>
  <c r="X23" i="7"/>
  <c r="W23" i="7"/>
  <c r="V23" i="7"/>
  <c r="U23" i="7"/>
  <c r="T23" i="7"/>
  <c r="S23" i="7"/>
  <c r="R23" i="7"/>
  <c r="Q23" i="7"/>
  <c r="P23" i="7"/>
  <c r="O23" i="7"/>
  <c r="N23" i="7"/>
  <c r="M23" i="7"/>
  <c r="L23" i="7"/>
  <c r="K23" i="7"/>
  <c r="J23" i="7"/>
  <c r="I23" i="7"/>
  <c r="H23" i="7"/>
  <c r="G23" i="7"/>
  <c r="AF22" i="7"/>
  <c r="AE22" i="7"/>
  <c r="AD22" i="7"/>
  <c r="AC22" i="7"/>
  <c r="AB22" i="7"/>
  <c r="AA22" i="7"/>
  <c r="Z22" i="7"/>
  <c r="Y22" i="7"/>
  <c r="X22" i="7"/>
  <c r="W22" i="7"/>
  <c r="V22" i="7"/>
  <c r="U22" i="7"/>
  <c r="T22" i="7"/>
  <c r="S22" i="7"/>
  <c r="R22" i="7"/>
  <c r="Q22" i="7"/>
  <c r="P22" i="7"/>
  <c r="O22" i="7"/>
  <c r="N22" i="7"/>
  <c r="M22" i="7"/>
  <c r="L22" i="7"/>
  <c r="K22" i="7"/>
  <c r="J22" i="7"/>
  <c r="I22" i="7"/>
  <c r="H22" i="7"/>
  <c r="G22" i="7"/>
  <c r="AF21" i="7"/>
  <c r="AE21" i="7"/>
  <c r="AD21" i="7"/>
  <c r="AC21" i="7"/>
  <c r="AB21" i="7"/>
  <c r="AA21" i="7"/>
  <c r="Z21" i="7"/>
  <c r="Y21" i="7"/>
  <c r="X21" i="7"/>
  <c r="W21" i="7"/>
  <c r="V21" i="7"/>
  <c r="U21" i="7"/>
  <c r="T21" i="7"/>
  <c r="S21" i="7"/>
  <c r="R21" i="7"/>
  <c r="Q21" i="7"/>
  <c r="P21" i="7"/>
  <c r="O21" i="7"/>
  <c r="N21" i="7"/>
  <c r="M21" i="7"/>
  <c r="L21" i="7"/>
  <c r="K21" i="7"/>
  <c r="J21" i="7"/>
  <c r="I21" i="7"/>
  <c r="H21" i="7"/>
  <c r="G21" i="7"/>
  <c r="AF20" i="7"/>
  <c r="AE20" i="7"/>
  <c r="AD20" i="7"/>
  <c r="AC20" i="7"/>
  <c r="AB20" i="7"/>
  <c r="AA20" i="7"/>
  <c r="Z20" i="7"/>
  <c r="Y20" i="7"/>
  <c r="X20" i="7"/>
  <c r="W20" i="7"/>
  <c r="V20" i="7"/>
  <c r="U20" i="7"/>
  <c r="T20" i="7"/>
  <c r="S20" i="7"/>
  <c r="R20" i="7"/>
  <c r="Q20" i="7"/>
  <c r="P20" i="7"/>
  <c r="O20" i="7"/>
  <c r="N20" i="7"/>
  <c r="M20" i="7"/>
  <c r="L20" i="7"/>
  <c r="K20" i="7"/>
  <c r="J20" i="7"/>
  <c r="I20" i="7"/>
  <c r="H20" i="7"/>
  <c r="G20" i="7"/>
  <c r="AF18" i="7"/>
  <c r="AE18" i="7"/>
  <c r="AD18" i="7"/>
  <c r="AC18" i="7"/>
  <c r="AB18" i="7"/>
  <c r="AA18" i="7"/>
  <c r="Z18" i="7"/>
  <c r="Y18" i="7"/>
  <c r="X18" i="7"/>
  <c r="W18" i="7"/>
  <c r="V18" i="7"/>
  <c r="U18" i="7"/>
  <c r="T18" i="7"/>
  <c r="S18" i="7"/>
  <c r="R18" i="7"/>
  <c r="Q18" i="7"/>
  <c r="P18" i="7"/>
  <c r="O18" i="7"/>
  <c r="N18" i="7"/>
  <c r="M18" i="7"/>
  <c r="L18" i="7"/>
  <c r="K18" i="7"/>
  <c r="J18" i="7"/>
  <c r="I18" i="7"/>
  <c r="H18" i="7"/>
  <c r="G18" i="7"/>
  <c r="AF17" i="7"/>
  <c r="AE17" i="7"/>
  <c r="AD17" i="7"/>
  <c r="AC17" i="7"/>
  <c r="AB17" i="7"/>
  <c r="AA17" i="7"/>
  <c r="Z17" i="7"/>
  <c r="Y17" i="7"/>
  <c r="X17" i="7"/>
  <c r="W17" i="7"/>
  <c r="V17" i="7"/>
  <c r="U17" i="7"/>
  <c r="T17" i="7"/>
  <c r="S17" i="7"/>
  <c r="R17" i="7"/>
  <c r="Q17" i="7"/>
  <c r="P17" i="7"/>
  <c r="O17" i="7"/>
  <c r="N17" i="7"/>
  <c r="M17" i="7"/>
  <c r="L17" i="7"/>
  <c r="K17" i="7"/>
  <c r="J17" i="7"/>
  <c r="I17" i="7"/>
  <c r="H17" i="7"/>
  <c r="G17" i="7"/>
  <c r="X16" i="7"/>
  <c r="L16" i="7"/>
  <c r="AF15" i="7"/>
  <c r="AE15" i="7"/>
  <c r="AD15" i="7"/>
  <c r="AC15" i="7"/>
  <c r="AB15" i="7"/>
  <c r="AA15" i="7"/>
  <c r="Z15" i="7"/>
  <c r="Y15" i="7"/>
  <c r="X15" i="7"/>
  <c r="W15" i="7"/>
  <c r="V15" i="7"/>
  <c r="U15" i="7"/>
  <c r="T15" i="7"/>
  <c r="S15" i="7"/>
  <c r="R15" i="7"/>
  <c r="Q15" i="7"/>
  <c r="P15" i="7"/>
  <c r="O15" i="7"/>
  <c r="N15" i="7"/>
  <c r="M15" i="7"/>
  <c r="L15" i="7"/>
  <c r="K15" i="7"/>
  <c r="J15" i="7"/>
  <c r="I15" i="7"/>
  <c r="H15" i="7"/>
  <c r="G15" i="7"/>
  <c r="AF13" i="7"/>
  <c r="AE13" i="7"/>
  <c r="AD13" i="7"/>
  <c r="AC13" i="7"/>
  <c r="AB13" i="7"/>
  <c r="AA13" i="7"/>
  <c r="Z13" i="7"/>
  <c r="Y13" i="7"/>
  <c r="X13" i="7"/>
  <c r="W13" i="7"/>
  <c r="V13" i="7"/>
  <c r="U13" i="7"/>
  <c r="T13" i="7"/>
  <c r="S13" i="7"/>
  <c r="R13" i="7"/>
  <c r="Q13" i="7"/>
  <c r="P13" i="7"/>
  <c r="O13" i="7"/>
  <c r="N13" i="7"/>
  <c r="M13" i="7"/>
  <c r="L13" i="7"/>
  <c r="K13" i="7"/>
  <c r="J13" i="7"/>
  <c r="I13" i="7"/>
  <c r="H13" i="7"/>
  <c r="G13" i="7"/>
  <c r="AF8" i="7"/>
  <c r="AE8" i="7"/>
  <c r="AD8" i="7"/>
  <c r="AC8" i="7"/>
  <c r="AB8" i="7"/>
  <c r="AA8" i="7"/>
  <c r="Z8" i="7"/>
  <c r="Y8" i="7"/>
  <c r="X8" i="7"/>
  <c r="W8" i="7"/>
  <c r="V8" i="7"/>
  <c r="U8" i="7"/>
  <c r="T8" i="7"/>
  <c r="S8" i="7"/>
  <c r="R8" i="7"/>
  <c r="Q8" i="7"/>
  <c r="P8" i="7"/>
  <c r="O8" i="7"/>
  <c r="N8" i="7"/>
  <c r="M8" i="7"/>
  <c r="L8" i="7"/>
  <c r="K8" i="7"/>
  <c r="J8" i="7"/>
  <c r="I8" i="7"/>
  <c r="H8" i="7"/>
  <c r="G8" i="7"/>
  <c r="AF7" i="7"/>
  <c r="AF22" i="11" s="1"/>
  <c r="AE7" i="7"/>
  <c r="AE22" i="11" s="1"/>
  <c r="AD7" i="7"/>
  <c r="AD22" i="11" s="1"/>
  <c r="AC7" i="7"/>
  <c r="AC22" i="11" s="1"/>
  <c r="AB7" i="7"/>
  <c r="AB22" i="11" s="1"/>
  <c r="AA7" i="7"/>
  <c r="AA22" i="11" s="1"/>
  <c r="Z7" i="7"/>
  <c r="Z22" i="11" s="1"/>
  <c r="Y7" i="7"/>
  <c r="Y22" i="11" s="1"/>
  <c r="X7" i="7"/>
  <c r="X22" i="11" s="1"/>
  <c r="W7" i="7"/>
  <c r="W22" i="11" s="1"/>
  <c r="V7" i="7"/>
  <c r="V22" i="11" s="1"/>
  <c r="U7" i="7"/>
  <c r="U22" i="11" s="1"/>
  <c r="T7" i="7"/>
  <c r="T22" i="11" s="1"/>
  <c r="S7" i="7"/>
  <c r="S22" i="11" s="1"/>
  <c r="R7" i="7"/>
  <c r="R22" i="11" s="1"/>
  <c r="Q7" i="7"/>
  <c r="Q22" i="11" s="1"/>
  <c r="P7" i="7"/>
  <c r="P22" i="11" s="1"/>
  <c r="O7" i="7"/>
  <c r="O22" i="11" s="1"/>
  <c r="N7" i="7"/>
  <c r="N22" i="11" s="1"/>
  <c r="M7" i="7"/>
  <c r="M22" i="11" s="1"/>
  <c r="L7" i="7"/>
  <c r="L22" i="11" s="1"/>
  <c r="K7" i="7"/>
  <c r="K22" i="11" s="1"/>
  <c r="J7" i="7"/>
  <c r="J22" i="11" s="1"/>
  <c r="I7" i="7"/>
  <c r="I22" i="11" s="1"/>
  <c r="H7" i="7"/>
  <c r="H22" i="11" s="1"/>
  <c r="G7" i="7"/>
  <c r="G22" i="11" s="1"/>
  <c r="T42" i="6"/>
  <c r="AF41" i="6"/>
  <c r="AE41" i="6"/>
  <c r="AD41" i="6"/>
  <c r="AC41" i="6"/>
  <c r="AB41" i="6"/>
  <c r="AA41" i="6"/>
  <c r="Z41" i="6"/>
  <c r="Y41" i="6"/>
  <c r="X41" i="6"/>
  <c r="W41" i="6"/>
  <c r="V41" i="6"/>
  <c r="U41" i="6"/>
  <c r="T41" i="6"/>
  <c r="S41" i="6"/>
  <c r="R41" i="6"/>
  <c r="Q41" i="6"/>
  <c r="P41" i="6"/>
  <c r="O41" i="6"/>
  <c r="N41" i="6"/>
  <c r="M41" i="6"/>
  <c r="L41" i="6"/>
  <c r="K41" i="6"/>
  <c r="J41" i="6"/>
  <c r="I41" i="6"/>
  <c r="H41" i="6"/>
  <c r="G41" i="6"/>
  <c r="F41" i="6"/>
  <c r="E41" i="6"/>
  <c r="D41" i="6"/>
  <c r="C41" i="6"/>
  <c r="AF39" i="6"/>
  <c r="AE39" i="6"/>
  <c r="AD39" i="6"/>
  <c r="AC39" i="6"/>
  <c r="AB39" i="6"/>
  <c r="AA39" i="6"/>
  <c r="Z39" i="6"/>
  <c r="Y39" i="6"/>
  <c r="X39" i="6"/>
  <c r="W39" i="6"/>
  <c r="V39" i="6"/>
  <c r="U39" i="6"/>
  <c r="T39" i="6"/>
  <c r="S39" i="6"/>
  <c r="R39" i="6"/>
  <c r="Q39" i="6"/>
  <c r="P39" i="6"/>
  <c r="O39" i="6"/>
  <c r="N39" i="6"/>
  <c r="M39" i="6"/>
  <c r="L39" i="6"/>
  <c r="K39" i="6"/>
  <c r="J39" i="6"/>
  <c r="I39" i="6"/>
  <c r="H39" i="6"/>
  <c r="G39" i="6"/>
  <c r="F39" i="6"/>
  <c r="E39" i="6"/>
  <c r="D39" i="6"/>
  <c r="C39" i="6"/>
  <c r="AF38" i="6"/>
  <c r="AE38" i="6"/>
  <c r="AD38" i="6"/>
  <c r="AC38" i="6"/>
  <c r="AB38" i="6"/>
  <c r="AA38" i="6"/>
  <c r="Z38" i="6"/>
  <c r="Y38" i="6"/>
  <c r="X38" i="6"/>
  <c r="W38" i="6"/>
  <c r="V38" i="6"/>
  <c r="U38" i="6"/>
  <c r="T38" i="6"/>
  <c r="S38" i="6"/>
  <c r="R38" i="6"/>
  <c r="Q38" i="6"/>
  <c r="P38" i="6"/>
  <c r="O38" i="6"/>
  <c r="N38" i="6"/>
  <c r="M38" i="6"/>
  <c r="L38" i="6"/>
  <c r="K38" i="6"/>
  <c r="J38" i="6"/>
  <c r="I38" i="6"/>
  <c r="H38" i="6"/>
  <c r="G38" i="6"/>
  <c r="F38" i="6"/>
  <c r="E38" i="6"/>
  <c r="D38" i="6"/>
  <c r="C38" i="6"/>
  <c r="AF37" i="6"/>
  <c r="AE37" i="6"/>
  <c r="AD37" i="6"/>
  <c r="AC37" i="6"/>
  <c r="AB37" i="6"/>
  <c r="AA37" i="6"/>
  <c r="Z37" i="6"/>
  <c r="Y37" i="6"/>
  <c r="X37" i="6"/>
  <c r="W37" i="6"/>
  <c r="V37" i="6"/>
  <c r="U37" i="6"/>
  <c r="T37" i="6"/>
  <c r="S37" i="6"/>
  <c r="R37" i="6"/>
  <c r="Q37" i="6"/>
  <c r="P37" i="6"/>
  <c r="O37" i="6"/>
  <c r="N37" i="6"/>
  <c r="M37" i="6"/>
  <c r="L37" i="6"/>
  <c r="K37" i="6"/>
  <c r="J37" i="6"/>
  <c r="I37" i="6"/>
  <c r="H37" i="6"/>
  <c r="G37" i="6"/>
  <c r="F37" i="6"/>
  <c r="E37" i="6"/>
  <c r="D37" i="6"/>
  <c r="C37" i="6"/>
  <c r="AF36" i="6"/>
  <c r="AE36" i="6"/>
  <c r="AD36" i="6"/>
  <c r="AC36" i="6"/>
  <c r="AB36" i="6"/>
  <c r="AA36" i="6"/>
  <c r="Z36" i="6"/>
  <c r="Y36" i="6"/>
  <c r="X36" i="6"/>
  <c r="W36" i="6"/>
  <c r="V36" i="6"/>
  <c r="U36" i="6"/>
  <c r="T36" i="6"/>
  <c r="S36" i="6"/>
  <c r="R36" i="6"/>
  <c r="Q36" i="6"/>
  <c r="P36" i="6"/>
  <c r="O36" i="6"/>
  <c r="N36" i="6"/>
  <c r="M36" i="6"/>
  <c r="L36" i="6"/>
  <c r="K36" i="6"/>
  <c r="J36" i="6"/>
  <c r="I36" i="6"/>
  <c r="H36" i="6"/>
  <c r="G36" i="6"/>
  <c r="F36" i="6"/>
  <c r="E36" i="6"/>
  <c r="D36" i="6"/>
  <c r="C36" i="6"/>
  <c r="AF35" i="6"/>
  <c r="AE35" i="6"/>
  <c r="AD35" i="6"/>
  <c r="AC35" i="6"/>
  <c r="AB35" i="6"/>
  <c r="AA35" i="6"/>
  <c r="Z35" i="6"/>
  <c r="Y35" i="6"/>
  <c r="X35" i="6"/>
  <c r="W35" i="6"/>
  <c r="V35" i="6"/>
  <c r="U35" i="6"/>
  <c r="T35" i="6"/>
  <c r="S35" i="6"/>
  <c r="R35" i="6"/>
  <c r="Q35" i="6"/>
  <c r="P35" i="6"/>
  <c r="O35" i="6"/>
  <c r="N35" i="6"/>
  <c r="M35" i="6"/>
  <c r="L35" i="6"/>
  <c r="K35" i="6"/>
  <c r="J35" i="6"/>
  <c r="I35" i="6"/>
  <c r="H35" i="6"/>
  <c r="G35" i="6"/>
  <c r="F35" i="6"/>
  <c r="E35" i="6"/>
  <c r="D35" i="6"/>
  <c r="C35" i="6"/>
  <c r="AF34" i="6"/>
  <c r="AE34" i="6"/>
  <c r="AD34" i="6"/>
  <c r="AC34" i="6"/>
  <c r="AB34" i="6"/>
  <c r="AA34" i="6"/>
  <c r="Z34" i="6"/>
  <c r="Y34" i="6"/>
  <c r="X34" i="6"/>
  <c r="W34" i="6"/>
  <c r="V34" i="6"/>
  <c r="U34" i="6"/>
  <c r="T34" i="6"/>
  <c r="S34" i="6"/>
  <c r="R34" i="6"/>
  <c r="Q34" i="6"/>
  <c r="P34" i="6"/>
  <c r="O34" i="6"/>
  <c r="N34" i="6"/>
  <c r="M34" i="6"/>
  <c r="L34" i="6"/>
  <c r="K34" i="6"/>
  <c r="J34" i="6"/>
  <c r="I34" i="6"/>
  <c r="H34" i="6"/>
  <c r="G34" i="6"/>
  <c r="F34" i="6"/>
  <c r="E34" i="6"/>
  <c r="D34" i="6"/>
  <c r="C34" i="6"/>
  <c r="AF33" i="6"/>
  <c r="AE33" i="6"/>
  <c r="AD33" i="6"/>
  <c r="AC33" i="6"/>
  <c r="AB33" i="6"/>
  <c r="AA33" i="6"/>
  <c r="Z33" i="6"/>
  <c r="Y33" i="6"/>
  <c r="X33" i="6"/>
  <c r="W33" i="6"/>
  <c r="V33" i="6"/>
  <c r="U33" i="6"/>
  <c r="T33" i="6"/>
  <c r="S33" i="6"/>
  <c r="R33" i="6"/>
  <c r="Q33" i="6"/>
  <c r="P33" i="6"/>
  <c r="O33" i="6"/>
  <c r="N33" i="6"/>
  <c r="M33" i="6"/>
  <c r="L33" i="6"/>
  <c r="K33" i="6"/>
  <c r="J33" i="6"/>
  <c r="I33" i="6"/>
  <c r="H33" i="6"/>
  <c r="G33" i="6"/>
  <c r="F33" i="6"/>
  <c r="E33" i="6"/>
  <c r="D33" i="6"/>
  <c r="C33" i="6"/>
  <c r="AF32" i="6"/>
  <c r="AE32" i="6"/>
  <c r="AD32" i="6"/>
  <c r="AC32" i="6"/>
  <c r="AB32" i="6"/>
  <c r="AA32" i="6"/>
  <c r="Z32" i="6"/>
  <c r="Y32" i="6"/>
  <c r="X32" i="6"/>
  <c r="W32" i="6"/>
  <c r="V32" i="6"/>
  <c r="U32" i="6"/>
  <c r="T32" i="6"/>
  <c r="S32" i="6"/>
  <c r="R32" i="6"/>
  <c r="Q32" i="6"/>
  <c r="P32" i="6"/>
  <c r="O32" i="6"/>
  <c r="N32" i="6"/>
  <c r="M32" i="6"/>
  <c r="L32" i="6"/>
  <c r="K32" i="6"/>
  <c r="J32" i="6"/>
  <c r="I32" i="6"/>
  <c r="H32" i="6"/>
  <c r="G32" i="6"/>
  <c r="F32" i="6"/>
  <c r="E32" i="6"/>
  <c r="D32" i="6"/>
  <c r="C32" i="6"/>
  <c r="AF31" i="6"/>
  <c r="AE31" i="6"/>
  <c r="AD31" i="6"/>
  <c r="AC31" i="6"/>
  <c r="AB31" i="6"/>
  <c r="AA31" i="6"/>
  <c r="Z31" i="6"/>
  <c r="Y31" i="6"/>
  <c r="X31" i="6"/>
  <c r="W31" i="6"/>
  <c r="V31" i="6"/>
  <c r="U31" i="6"/>
  <c r="T31" i="6"/>
  <c r="S31" i="6"/>
  <c r="R31" i="6"/>
  <c r="Q31" i="6"/>
  <c r="P31" i="6"/>
  <c r="O31" i="6"/>
  <c r="N31" i="6"/>
  <c r="M31" i="6"/>
  <c r="L31" i="6"/>
  <c r="K31" i="6"/>
  <c r="J31" i="6"/>
  <c r="I31" i="6"/>
  <c r="H31" i="6"/>
  <c r="G31" i="6"/>
  <c r="F31" i="6"/>
  <c r="E31" i="6"/>
  <c r="D31" i="6"/>
  <c r="C31" i="6"/>
  <c r="AF30" i="6"/>
  <c r="AE30" i="6"/>
  <c r="AD30" i="6"/>
  <c r="AC30" i="6"/>
  <c r="AB30" i="6"/>
  <c r="AA30" i="6"/>
  <c r="Z30" i="6"/>
  <c r="Y30" i="6"/>
  <c r="X30" i="6"/>
  <c r="W30" i="6"/>
  <c r="V30" i="6"/>
  <c r="U30" i="6"/>
  <c r="T30" i="6"/>
  <c r="S30" i="6"/>
  <c r="R30" i="6"/>
  <c r="Q30" i="6"/>
  <c r="P30" i="6"/>
  <c r="O30" i="6"/>
  <c r="N30" i="6"/>
  <c r="M30" i="6"/>
  <c r="L30" i="6"/>
  <c r="K30" i="6"/>
  <c r="J30" i="6"/>
  <c r="I30" i="6"/>
  <c r="H30" i="6"/>
  <c r="G30" i="6"/>
  <c r="F30" i="6"/>
  <c r="E30" i="6"/>
  <c r="D30" i="6"/>
  <c r="C30" i="6"/>
  <c r="AF28" i="6"/>
  <c r="AE28" i="6"/>
  <c r="AD28" i="6"/>
  <c r="AC28" i="6"/>
  <c r="AB28" i="6"/>
  <c r="AA28" i="6"/>
  <c r="Z28" i="6"/>
  <c r="Y28" i="6"/>
  <c r="X28" i="6"/>
  <c r="W28" i="6"/>
  <c r="V28" i="6"/>
  <c r="U28" i="6"/>
  <c r="T28" i="6"/>
  <c r="S28" i="6"/>
  <c r="R28" i="6"/>
  <c r="Q28" i="6"/>
  <c r="P28" i="6"/>
  <c r="O28" i="6"/>
  <c r="N28" i="6"/>
  <c r="M28" i="6"/>
  <c r="L28" i="6"/>
  <c r="K28" i="6"/>
  <c r="J28" i="6"/>
  <c r="I28" i="6"/>
  <c r="H28" i="6"/>
  <c r="G28" i="6"/>
  <c r="F28" i="6"/>
  <c r="E28" i="6"/>
  <c r="D28" i="6"/>
  <c r="C28" i="6"/>
  <c r="AF27" i="6"/>
  <c r="AE27" i="6"/>
  <c r="AD27" i="6"/>
  <c r="AC27" i="6"/>
  <c r="AB27" i="6"/>
  <c r="AA27" i="6"/>
  <c r="Z27" i="6"/>
  <c r="Y27" i="6"/>
  <c r="X27" i="6"/>
  <c r="W27" i="6"/>
  <c r="V27" i="6"/>
  <c r="U27" i="6"/>
  <c r="T27" i="6"/>
  <c r="S27" i="6"/>
  <c r="R27" i="6"/>
  <c r="Q27" i="6"/>
  <c r="P27" i="6"/>
  <c r="O27" i="6"/>
  <c r="N27" i="6"/>
  <c r="M27" i="6"/>
  <c r="L27" i="6"/>
  <c r="K27" i="6"/>
  <c r="J27" i="6"/>
  <c r="I27" i="6"/>
  <c r="H27" i="6"/>
  <c r="G27" i="6"/>
  <c r="F27" i="6"/>
  <c r="E27" i="6"/>
  <c r="D27" i="6"/>
  <c r="C27" i="6"/>
  <c r="AB26" i="6"/>
  <c r="Z26" i="6"/>
  <c r="U26" i="6"/>
  <c r="T26"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AF24" i="6"/>
  <c r="AE24" i="6"/>
  <c r="AD24" i="6"/>
  <c r="AC24" i="6"/>
  <c r="AB24" i="6"/>
  <c r="AA24" i="6"/>
  <c r="Z24" i="6"/>
  <c r="Y24" i="6"/>
  <c r="X24" i="6"/>
  <c r="W24" i="6"/>
  <c r="V24" i="6"/>
  <c r="U24" i="6"/>
  <c r="T24" i="6"/>
  <c r="S24" i="6"/>
  <c r="R24" i="6"/>
  <c r="Q24" i="6"/>
  <c r="P24" i="6"/>
  <c r="O24" i="6"/>
  <c r="N24" i="6"/>
  <c r="M24" i="6"/>
  <c r="L24" i="6"/>
  <c r="K24" i="6"/>
  <c r="J24" i="6"/>
  <c r="I24" i="6"/>
  <c r="H24" i="6"/>
  <c r="G24" i="6"/>
  <c r="F24" i="6"/>
  <c r="E24" i="6"/>
  <c r="D24" i="6"/>
  <c r="C24"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C23" i="6"/>
  <c r="AF19" i="6"/>
  <c r="AE19" i="6"/>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AF14" i="6"/>
  <c r="AE14" i="6"/>
  <c r="AD14" i="6"/>
  <c r="AC14" i="6"/>
  <c r="AB14" i="6"/>
  <c r="AA14" i="6"/>
  <c r="Z14" i="6"/>
  <c r="Y14" i="6"/>
  <c r="X14" i="6"/>
  <c r="W14" i="6"/>
  <c r="V14" i="6"/>
  <c r="U14" i="6"/>
  <c r="T14" i="6"/>
  <c r="S14" i="6"/>
  <c r="R14" i="6"/>
  <c r="Q14" i="6"/>
  <c r="P14" i="6"/>
  <c r="O14" i="6"/>
  <c r="N14" i="6"/>
  <c r="M14" i="6"/>
  <c r="L14" i="6"/>
  <c r="K14" i="6"/>
  <c r="J14" i="6"/>
  <c r="I14" i="6"/>
  <c r="H14" i="6"/>
  <c r="G14" i="6"/>
  <c r="F14" i="6"/>
  <c r="E14" i="6"/>
  <c r="D14" i="6"/>
  <c r="C14"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E11" i="6"/>
  <c r="D11" i="6"/>
  <c r="C11"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C10" i="6"/>
  <c r="AE9" i="6"/>
  <c r="K9"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AF7" i="6"/>
  <c r="AE7" i="6"/>
  <c r="AD7" i="6"/>
  <c r="AC7" i="6"/>
  <c r="AB7" i="6"/>
  <c r="AA7" i="6"/>
  <c r="Z7" i="6"/>
  <c r="Y7" i="6"/>
  <c r="X7" i="6"/>
  <c r="W7" i="6"/>
  <c r="V7" i="6"/>
  <c r="U7" i="6"/>
  <c r="T7" i="6"/>
  <c r="S7" i="6"/>
  <c r="R7" i="6"/>
  <c r="Q7" i="6"/>
  <c r="P7" i="6"/>
  <c r="O7" i="6"/>
  <c r="N7" i="6"/>
  <c r="M7" i="6"/>
  <c r="L7" i="6"/>
  <c r="K7" i="6"/>
  <c r="J7" i="6"/>
  <c r="I7" i="6"/>
  <c r="H7" i="6"/>
  <c r="G7" i="6"/>
  <c r="F7" i="6"/>
  <c r="E7" i="6"/>
  <c r="D7" i="6"/>
  <c r="C7" i="6"/>
  <c r="AD17" i="5"/>
  <c r="AD55" i="9" s="1"/>
  <c r="AC17" i="5"/>
  <c r="AC55" i="9" s="1"/>
  <c r="AB17" i="5"/>
  <c r="AB55" i="9" s="1"/>
  <c r="AA17" i="5"/>
  <c r="AA55" i="9" s="1"/>
  <c r="Z17" i="5"/>
  <c r="Z55" i="9" s="1"/>
  <c r="Y17" i="5"/>
  <c r="Y55" i="9" s="1"/>
  <c r="Q17" i="5"/>
  <c r="Q55" i="9" s="1"/>
  <c r="F17" i="5"/>
  <c r="F55" i="9" s="1"/>
  <c r="E17" i="5"/>
  <c r="E55" i="9" s="1"/>
  <c r="D17" i="5"/>
  <c r="D55" i="9" s="1"/>
  <c r="C17" i="5"/>
  <c r="C55" i="9" s="1"/>
  <c r="AF16" i="5"/>
  <c r="AF17" i="5" s="1"/>
  <c r="AF55" i="9" s="1"/>
  <c r="AE16" i="5"/>
  <c r="AE17" i="5" s="1"/>
  <c r="AE55" i="9" s="1"/>
  <c r="AD16" i="5"/>
  <c r="AC16" i="5"/>
  <c r="AB16" i="5"/>
  <c r="AA16" i="5"/>
  <c r="Z16" i="5"/>
  <c r="Y16" i="5"/>
  <c r="X16" i="5"/>
  <c r="X17" i="5" s="1"/>
  <c r="X55" i="9" s="1"/>
  <c r="W16" i="5"/>
  <c r="W17" i="5" s="1"/>
  <c r="W55" i="9" s="1"/>
  <c r="V16" i="5"/>
  <c r="V17" i="5" s="1"/>
  <c r="V55" i="9" s="1"/>
  <c r="U16" i="5"/>
  <c r="U17" i="5" s="1"/>
  <c r="U55" i="9" s="1"/>
  <c r="T16" i="5"/>
  <c r="T17" i="5" s="1"/>
  <c r="T55" i="9" s="1"/>
  <c r="S16" i="5"/>
  <c r="S17" i="5" s="1"/>
  <c r="S55" i="9" s="1"/>
  <c r="R16" i="5"/>
  <c r="R17" i="5" s="1"/>
  <c r="R55" i="9" s="1"/>
  <c r="Q16" i="5"/>
  <c r="P16" i="5"/>
  <c r="P17" i="5" s="1"/>
  <c r="P55" i="9" s="1"/>
  <c r="O16" i="5"/>
  <c r="O17" i="5" s="1"/>
  <c r="O55" i="9" s="1"/>
  <c r="N16" i="5"/>
  <c r="N17" i="5" s="1"/>
  <c r="N55" i="9" s="1"/>
  <c r="M16" i="5"/>
  <c r="M17" i="5" s="1"/>
  <c r="M55" i="9" s="1"/>
  <c r="L16" i="5"/>
  <c r="L17" i="5" s="1"/>
  <c r="L55" i="9" s="1"/>
  <c r="K16" i="5"/>
  <c r="K17" i="5" s="1"/>
  <c r="K55" i="9" s="1"/>
  <c r="J16" i="5"/>
  <c r="J17" i="5" s="1"/>
  <c r="J55" i="9" s="1"/>
  <c r="I16" i="5"/>
  <c r="I17" i="5" s="1"/>
  <c r="I55" i="9" s="1"/>
  <c r="H16" i="5"/>
  <c r="H17" i="5" s="1"/>
  <c r="H55" i="9" s="1"/>
  <c r="G16" i="5"/>
  <c r="G17" i="5" s="1"/>
  <c r="G55" i="9" s="1"/>
  <c r="F16" i="5"/>
  <c r="E16" i="5"/>
  <c r="D16" i="5"/>
  <c r="C16" i="5"/>
  <c r="AF9" i="5"/>
  <c r="AE9" i="5"/>
  <c r="AD9" i="5"/>
  <c r="AC9" i="5"/>
  <c r="AB9" i="5"/>
  <c r="AA9" i="5"/>
  <c r="Z9" i="5"/>
  <c r="Y9" i="5"/>
  <c r="X9" i="5"/>
  <c r="X36" i="7" s="1"/>
  <c r="W9" i="5"/>
  <c r="V9" i="5"/>
  <c r="U9" i="5"/>
  <c r="U36" i="7" s="1"/>
  <c r="T9" i="5"/>
  <c r="S9" i="5"/>
  <c r="R9" i="5"/>
  <c r="Q9" i="5"/>
  <c r="P9" i="5"/>
  <c r="O9" i="5"/>
  <c r="N9" i="5"/>
  <c r="M9" i="5"/>
  <c r="L9" i="5"/>
  <c r="K9" i="5"/>
  <c r="J9" i="5"/>
  <c r="I9" i="5"/>
  <c r="I36" i="7" s="1"/>
  <c r="H9" i="5"/>
  <c r="G9" i="5"/>
  <c r="F9" i="5"/>
  <c r="E9" i="5"/>
  <c r="D9" i="5"/>
  <c r="C9" i="5"/>
  <c r="L38" i="4"/>
  <c r="X37" i="4"/>
  <c r="V37" i="4"/>
  <c r="J37" i="4"/>
  <c r="I37" i="4"/>
  <c r="E37" i="4"/>
  <c r="AF36" i="4"/>
  <c r="AC35" i="4"/>
  <c r="AB35" i="4"/>
  <c r="AA35" i="4"/>
  <c r="Z35" i="4"/>
  <c r="Y35" i="4"/>
  <c r="T35" i="4"/>
  <c r="S35" i="4"/>
  <c r="P35" i="4"/>
  <c r="H35" i="4"/>
  <c r="G35" i="4"/>
  <c r="F35" i="4"/>
  <c r="E35" i="4"/>
  <c r="D35" i="4"/>
  <c r="C35" i="4"/>
  <c r="AF32" i="4"/>
  <c r="AE32" i="4"/>
  <c r="AE42" i="6" s="1"/>
  <c r="AD32" i="4"/>
  <c r="AD42" i="6" s="1"/>
  <c r="AC32" i="4"/>
  <c r="AC42" i="6" s="1"/>
  <c r="AB32" i="4"/>
  <c r="AB42" i="6" s="1"/>
  <c r="AA32" i="4"/>
  <c r="AA42" i="6" s="1"/>
  <c r="Z32" i="4"/>
  <c r="Z42" i="6" s="1"/>
  <c r="Y32" i="4"/>
  <c r="Y42" i="6" s="1"/>
  <c r="X32" i="4"/>
  <c r="X42" i="6" s="1"/>
  <c r="W32" i="4"/>
  <c r="W42" i="6" s="1"/>
  <c r="V32" i="4"/>
  <c r="U32" i="4"/>
  <c r="U35" i="4" s="1"/>
  <c r="T32" i="4"/>
  <c r="S32" i="4"/>
  <c r="S42" i="6" s="1"/>
  <c r="R32" i="4"/>
  <c r="R42" i="6" s="1"/>
  <c r="Q32" i="4"/>
  <c r="Q42" i="6" s="1"/>
  <c r="P32" i="4"/>
  <c r="P42" i="6" s="1"/>
  <c r="O32" i="4"/>
  <c r="O42" i="6" s="1"/>
  <c r="N32" i="4"/>
  <c r="N42" i="6" s="1"/>
  <c r="M32" i="4"/>
  <c r="M42" i="6" s="1"/>
  <c r="L32" i="4"/>
  <c r="L42" i="6" s="1"/>
  <c r="K32" i="4"/>
  <c r="K42" i="6" s="1"/>
  <c r="J32" i="4"/>
  <c r="I32" i="4"/>
  <c r="H32" i="4"/>
  <c r="H42" i="6" s="1"/>
  <c r="G32" i="4"/>
  <c r="G42" i="6" s="1"/>
  <c r="F32" i="4"/>
  <c r="F42" i="6" s="1"/>
  <c r="E32" i="4"/>
  <c r="E42" i="6" s="1"/>
  <c r="D32" i="4"/>
  <c r="D42" i="6" s="1"/>
  <c r="C32" i="4"/>
  <c r="C42" i="6" s="1"/>
  <c r="AF29" i="4"/>
  <c r="AF40" i="6" s="1"/>
  <c r="AE29" i="4"/>
  <c r="AE40" i="6" s="1"/>
  <c r="AD29" i="4"/>
  <c r="AD40" i="6" s="1"/>
  <c r="AC29" i="4"/>
  <c r="AB29" i="4"/>
  <c r="AA29" i="4"/>
  <c r="Z29" i="4"/>
  <c r="Z40" i="6" s="1"/>
  <c r="Y29" i="4"/>
  <c r="Y40" i="6" s="1"/>
  <c r="X29" i="4"/>
  <c r="X40" i="6" s="1"/>
  <c r="W29" i="4"/>
  <c r="W40" i="6" s="1"/>
  <c r="V29" i="4"/>
  <c r="V40" i="6" s="1"/>
  <c r="U29" i="4"/>
  <c r="U40" i="6" s="1"/>
  <c r="T29" i="4"/>
  <c r="T40" i="6" s="1"/>
  <c r="S29" i="4"/>
  <c r="S40" i="6" s="1"/>
  <c r="R29" i="4"/>
  <c r="R40" i="6" s="1"/>
  <c r="Q29" i="4"/>
  <c r="P29" i="4"/>
  <c r="P28" i="4" s="1"/>
  <c r="P38" i="4" s="1"/>
  <c r="O29" i="4"/>
  <c r="N29" i="4"/>
  <c r="N40" i="6" s="1"/>
  <c r="M29" i="4"/>
  <c r="M40" i="6" s="1"/>
  <c r="L29" i="4"/>
  <c r="L40" i="6" s="1"/>
  <c r="K29" i="4"/>
  <c r="K40" i="6" s="1"/>
  <c r="J29" i="4"/>
  <c r="J40" i="6" s="1"/>
  <c r="I29" i="4"/>
  <c r="I40" i="6" s="1"/>
  <c r="H29" i="4"/>
  <c r="H40" i="6" s="1"/>
  <c r="G29" i="4"/>
  <c r="G40" i="6" s="1"/>
  <c r="F29" i="4"/>
  <c r="F40" i="6" s="1"/>
  <c r="E29" i="4"/>
  <c r="D29" i="4"/>
  <c r="C29" i="4"/>
  <c r="Y28" i="4"/>
  <c r="Y38" i="4" s="1"/>
  <c r="X28" i="4"/>
  <c r="X38" i="4" s="1"/>
  <c r="V28" i="4"/>
  <c r="V38" i="4" s="1"/>
  <c r="U28" i="4"/>
  <c r="U38" i="4" s="1"/>
  <c r="T28" i="4"/>
  <c r="T38" i="4" s="1"/>
  <c r="S28" i="4"/>
  <c r="S38" i="4" s="1"/>
  <c r="N28" i="4"/>
  <c r="N38" i="4" s="1"/>
  <c r="M28" i="4"/>
  <c r="M38" i="4" s="1"/>
  <c r="L28" i="4"/>
  <c r="J28" i="4"/>
  <c r="J38" i="4" s="1"/>
  <c r="I28" i="4"/>
  <c r="I38" i="4" s="1"/>
  <c r="AF23" i="4"/>
  <c r="AF37" i="4" s="1"/>
  <c r="AE23" i="4"/>
  <c r="AE37" i="4" s="1"/>
  <c r="AD23" i="4"/>
  <c r="AD37" i="4" s="1"/>
  <c r="AC23" i="4"/>
  <c r="AC37" i="4" s="1"/>
  <c r="AB23" i="4"/>
  <c r="AB37" i="4" s="1"/>
  <c r="AA23" i="4"/>
  <c r="AA37" i="4" s="1"/>
  <c r="Z23" i="4"/>
  <c r="Z37" i="4" s="1"/>
  <c r="Y23" i="4"/>
  <c r="Y37" i="4" s="1"/>
  <c r="X23" i="4"/>
  <c r="W23" i="4"/>
  <c r="W37" i="4" s="1"/>
  <c r="V23" i="4"/>
  <c r="U23" i="4"/>
  <c r="U37" i="4" s="1"/>
  <c r="T23" i="4"/>
  <c r="T37" i="4" s="1"/>
  <c r="S23" i="4"/>
  <c r="S37" i="4" s="1"/>
  <c r="R23" i="4"/>
  <c r="R37" i="4" s="1"/>
  <c r="Q23" i="4"/>
  <c r="Q37" i="4" s="1"/>
  <c r="P23" i="4"/>
  <c r="P37" i="4" s="1"/>
  <c r="O23" i="4"/>
  <c r="O37" i="4" s="1"/>
  <c r="N23" i="4"/>
  <c r="N37" i="4" s="1"/>
  <c r="M23" i="4"/>
  <c r="M37" i="4" s="1"/>
  <c r="L23" i="4"/>
  <c r="L37" i="4" s="1"/>
  <c r="K23" i="4"/>
  <c r="K37" i="4" s="1"/>
  <c r="J23" i="4"/>
  <c r="I23" i="4"/>
  <c r="H23" i="4"/>
  <c r="H37" i="4" s="1"/>
  <c r="G23" i="4"/>
  <c r="G37" i="4" s="1"/>
  <c r="F23" i="4"/>
  <c r="F37" i="4" s="1"/>
  <c r="E23" i="4"/>
  <c r="D23" i="4"/>
  <c r="D37" i="4" s="1"/>
  <c r="C23" i="4"/>
  <c r="C37" i="4" s="1"/>
  <c r="N14" i="4"/>
  <c r="AA13" i="4"/>
  <c r="AA14" i="4" s="1"/>
  <c r="Z13" i="4"/>
  <c r="Z29" i="6" s="1"/>
  <c r="Y13" i="4"/>
  <c r="Y29" i="6" s="1"/>
  <c r="D13" i="4"/>
  <c r="C13" i="4"/>
  <c r="AF10" i="4"/>
  <c r="AF13" i="4" s="1"/>
  <c r="AE10" i="4"/>
  <c r="AE13" i="4" s="1"/>
  <c r="AE29" i="6" s="1"/>
  <c r="AD10" i="4"/>
  <c r="AC10" i="4"/>
  <c r="AB10" i="4"/>
  <c r="AB13" i="4" s="1"/>
  <c r="AA10" i="4"/>
  <c r="Z10" i="4"/>
  <c r="Y10" i="4"/>
  <c r="X10" i="4"/>
  <c r="W10" i="4"/>
  <c r="V10" i="4"/>
  <c r="V36" i="4" s="1"/>
  <c r="U10" i="4"/>
  <c r="U36" i="4" s="1"/>
  <c r="T10" i="4"/>
  <c r="T19" i="7" s="1"/>
  <c r="S10" i="4"/>
  <c r="R10" i="4"/>
  <c r="R13" i="4" s="1"/>
  <c r="R29" i="6" s="1"/>
  <c r="Q10" i="4"/>
  <c r="Q39" i="7" s="1"/>
  <c r="P10" i="4"/>
  <c r="P13" i="4" s="1"/>
  <c r="O10" i="4"/>
  <c r="O36" i="4" s="1"/>
  <c r="N10" i="4"/>
  <c r="N13" i="4" s="1"/>
  <c r="N29" i="6" s="1"/>
  <c r="M10" i="4"/>
  <c r="M13" i="4" s="1"/>
  <c r="L10" i="4"/>
  <c r="K10" i="4"/>
  <c r="J10" i="4"/>
  <c r="I10" i="4"/>
  <c r="I36" i="4" s="1"/>
  <c r="H10" i="4"/>
  <c r="H36" i="4" s="1"/>
  <c r="G10" i="4"/>
  <c r="F10" i="4"/>
  <c r="E10" i="4"/>
  <c r="E26" i="6" s="1"/>
  <c r="D10" i="4"/>
  <c r="D26" i="6" s="1"/>
  <c r="C10" i="4"/>
  <c r="C26" i="6" s="1"/>
  <c r="R14" i="3"/>
  <c r="R30" i="3" s="1"/>
  <c r="F14" i="3"/>
  <c r="F30" i="3" s="1"/>
  <c r="AF13" i="3"/>
  <c r="AE13" i="3"/>
  <c r="AD13" i="3"/>
  <c r="AC13" i="3"/>
  <c r="AB13" i="3"/>
  <c r="AA13" i="3"/>
  <c r="I10" i="8" s="1"/>
  <c r="Z13" i="3"/>
  <c r="Y13" i="3"/>
  <c r="X13" i="3"/>
  <c r="W13" i="3"/>
  <c r="V13" i="3"/>
  <c r="U13" i="3"/>
  <c r="U10" i="7" s="1"/>
  <c r="T13" i="3"/>
  <c r="S13" i="3"/>
  <c r="S10" i="7" s="1"/>
  <c r="R13" i="3"/>
  <c r="Q13" i="3"/>
  <c r="P13" i="3"/>
  <c r="O13" i="3"/>
  <c r="N13" i="3"/>
  <c r="M13" i="3"/>
  <c r="L13" i="3"/>
  <c r="K13" i="3"/>
  <c r="J13" i="3"/>
  <c r="I13" i="3"/>
  <c r="H13" i="3"/>
  <c r="G13" i="3"/>
  <c r="F13" i="3"/>
  <c r="F50" i="7" s="1"/>
  <c r="E13" i="3"/>
  <c r="D13" i="3"/>
  <c r="C13" i="3"/>
  <c r="C10" i="8" s="1"/>
  <c r="AF9" i="3"/>
  <c r="AE9" i="3"/>
  <c r="AD9" i="3"/>
  <c r="AD14" i="3" s="1"/>
  <c r="AD30" i="3" s="1"/>
  <c r="AC9" i="3"/>
  <c r="AB9" i="3"/>
  <c r="AB14" i="3" s="1"/>
  <c r="AA9" i="3"/>
  <c r="Z9" i="3"/>
  <c r="Z14" i="3" s="1"/>
  <c r="Y9" i="3"/>
  <c r="Y14" i="3" s="1"/>
  <c r="Y17" i="3" s="1"/>
  <c r="X9" i="3"/>
  <c r="W9" i="3"/>
  <c r="V9" i="3"/>
  <c r="U9" i="3"/>
  <c r="T9" i="3"/>
  <c r="S9" i="3"/>
  <c r="R9" i="3"/>
  <c r="Q9" i="3"/>
  <c r="P9" i="3"/>
  <c r="P14" i="3" s="1"/>
  <c r="O9" i="3"/>
  <c r="O14" i="3" s="1"/>
  <c r="N9" i="3"/>
  <c r="M9" i="3"/>
  <c r="M9" i="6" s="1"/>
  <c r="L9" i="3"/>
  <c r="L29" i="7" s="1"/>
  <c r="K9" i="3"/>
  <c r="J9" i="3"/>
  <c r="J9" i="6" s="1"/>
  <c r="I9" i="3"/>
  <c r="H9" i="3"/>
  <c r="G9" i="3"/>
  <c r="F9" i="3"/>
  <c r="E9" i="3"/>
  <c r="I9" i="7" s="1"/>
  <c r="D9" i="3"/>
  <c r="H9" i="7" s="1"/>
  <c r="C9" i="3"/>
  <c r="C14" i="3" s="1"/>
  <c r="C22" i="8" l="1"/>
  <c r="F13" i="4"/>
  <c r="F29" i="6" s="1"/>
  <c r="G36" i="4"/>
  <c r="G13" i="4"/>
  <c r="G29" i="6" s="1"/>
  <c r="S19" i="7"/>
  <c r="S36" i="4"/>
  <c r="S29" i="9"/>
  <c r="B10" i="14"/>
  <c r="C10" i="14" s="1"/>
  <c r="AF14" i="4"/>
  <c r="AF29" i="6"/>
  <c r="M36" i="7"/>
  <c r="M16" i="7"/>
  <c r="I31" i="8"/>
  <c r="F38" i="8"/>
  <c r="I40" i="8"/>
  <c r="F44" i="8"/>
  <c r="F49" i="8"/>
  <c r="I50" i="8"/>
  <c r="Z31" i="10"/>
  <c r="Q13" i="4"/>
  <c r="Q29" i="6" s="1"/>
  <c r="AA29" i="7"/>
  <c r="S13" i="4"/>
  <c r="R16" i="7"/>
  <c r="E28" i="4"/>
  <c r="E38" i="4" s="1"/>
  <c r="E40" i="6"/>
  <c r="Q28" i="4"/>
  <c r="Q38" i="4" s="1"/>
  <c r="Q40" i="6"/>
  <c r="AC28" i="4"/>
  <c r="AC38" i="4" s="1"/>
  <c r="AC40" i="6"/>
  <c r="AB14" i="4"/>
  <c r="AB29" i="6"/>
  <c r="R39" i="7"/>
  <c r="R29" i="9"/>
  <c r="E39" i="7"/>
  <c r="E13" i="4"/>
  <c r="E29" i="6" s="1"/>
  <c r="E30" i="9"/>
  <c r="AC13" i="4"/>
  <c r="AC29" i="6" s="1"/>
  <c r="AC26" i="6"/>
  <c r="AD36" i="4"/>
  <c r="AD13" i="4"/>
  <c r="AD29" i="6" s="1"/>
  <c r="K32" i="8"/>
  <c r="O31" i="10"/>
  <c r="D37" i="8"/>
  <c r="D43" i="8"/>
  <c r="G44" i="8"/>
  <c r="D31" i="10"/>
  <c r="P31" i="10"/>
  <c r="AC16" i="7"/>
  <c r="K31" i="8"/>
  <c r="E37" i="8"/>
  <c r="H38" i="8"/>
  <c r="E43" i="8"/>
  <c r="H44" i="8"/>
  <c r="K45" i="8"/>
  <c r="H49" i="8"/>
  <c r="E52" i="8"/>
  <c r="E31" i="10"/>
  <c r="Q31" i="10"/>
  <c r="F36" i="7"/>
  <c r="F43" i="8"/>
  <c r="I44" i="8"/>
  <c r="I49" i="8"/>
  <c r="F52" i="8"/>
  <c r="G14" i="3"/>
  <c r="G11" i="7" s="1"/>
  <c r="G58" i="9" s="1"/>
  <c r="S29" i="7"/>
  <c r="AE14" i="3"/>
  <c r="AE30" i="3" s="1"/>
  <c r="N35" i="4"/>
  <c r="AD35" i="4"/>
  <c r="G36" i="7"/>
  <c r="S16" i="7"/>
  <c r="AE16" i="7"/>
  <c r="D47" i="8"/>
  <c r="G48" i="8"/>
  <c r="I37" i="9"/>
  <c r="U37" i="9"/>
  <c r="G31" i="10"/>
  <c r="S31" i="10"/>
  <c r="U29" i="7"/>
  <c r="AF14" i="3"/>
  <c r="AF51" i="7" s="1"/>
  <c r="X19" i="7"/>
  <c r="W28" i="4"/>
  <c r="W38" i="4" s="1"/>
  <c r="O35" i="4"/>
  <c r="AE35" i="4"/>
  <c r="K38" i="8"/>
  <c r="H48" i="8"/>
  <c r="K49" i="8"/>
  <c r="I52" i="8"/>
  <c r="D30" i="7"/>
  <c r="Q35" i="4"/>
  <c r="D31" i="8"/>
  <c r="G42" i="8"/>
  <c r="D45" i="8"/>
  <c r="D50" i="8"/>
  <c r="G52" i="8"/>
  <c r="V31" i="10"/>
  <c r="G38" i="8"/>
  <c r="Y19" i="7"/>
  <c r="H28" i="4"/>
  <c r="H38" i="4" s="1"/>
  <c r="M36" i="4"/>
  <c r="K29" i="7"/>
  <c r="E30" i="7"/>
  <c r="AC30" i="7"/>
  <c r="AA19" i="7"/>
  <c r="O13" i="4"/>
  <c r="Z28" i="4"/>
  <c r="Z38" i="4" s="1"/>
  <c r="R35" i="4"/>
  <c r="K16" i="7"/>
  <c r="W16" i="7"/>
  <c r="H32" i="8"/>
  <c r="K43" i="8"/>
  <c r="K31" i="10"/>
  <c r="W31" i="10"/>
  <c r="T13" i="4"/>
  <c r="T29" i="6" s="1"/>
  <c r="D52" i="8"/>
  <c r="AD16" i="7"/>
  <c r="J9" i="7"/>
  <c r="AB30" i="7"/>
  <c r="K28" i="4"/>
  <c r="K38" i="4" s="1"/>
  <c r="AF28" i="4"/>
  <c r="AF38" i="4" s="1"/>
  <c r="T36" i="4"/>
  <c r="E31" i="8"/>
  <c r="P8" i="9"/>
  <c r="P31" i="7"/>
  <c r="P51" i="7"/>
  <c r="P13" i="6"/>
  <c r="P22" i="3"/>
  <c r="P17" i="3"/>
  <c r="P11" i="7"/>
  <c r="P58" i="9" s="1"/>
  <c r="P30" i="3"/>
  <c r="Y23" i="3"/>
  <c r="Y16" i="6"/>
  <c r="Y19" i="3"/>
  <c r="Z8" i="9"/>
  <c r="Z51" i="7"/>
  <c r="Z31" i="7"/>
  <c r="Z13" i="6"/>
  <c r="Z30" i="3"/>
  <c r="Z17" i="3"/>
  <c r="Z22" i="3"/>
  <c r="O8" i="9"/>
  <c r="O31" i="7"/>
  <c r="O51" i="7"/>
  <c r="O13" i="6"/>
  <c r="O22" i="3"/>
  <c r="O17" i="3"/>
  <c r="O30" i="3"/>
  <c r="AB8" i="9"/>
  <c r="AB51" i="7"/>
  <c r="AB22" i="3"/>
  <c r="AB17" i="3"/>
  <c r="AB13" i="6"/>
  <c r="AB30" i="3"/>
  <c r="G51" i="7"/>
  <c r="G8" i="9"/>
  <c r="G31" i="7"/>
  <c r="G13" i="6"/>
  <c r="AE51" i="7"/>
  <c r="AE8" i="9"/>
  <c r="K11" i="8"/>
  <c r="AE31" i="7"/>
  <c r="AE13" i="6"/>
  <c r="AE17" i="3"/>
  <c r="AE22" i="3"/>
  <c r="AF8" i="9"/>
  <c r="AF13" i="6"/>
  <c r="AF17" i="3"/>
  <c r="AF22" i="3"/>
  <c r="AF30" i="3"/>
  <c r="M14" i="4"/>
  <c r="M29" i="6"/>
  <c r="P36" i="7"/>
  <c r="P16" i="7"/>
  <c r="T16" i="7"/>
  <c r="N31" i="10"/>
  <c r="N49" i="7"/>
  <c r="N29" i="7"/>
  <c r="N7" i="9"/>
  <c r="N9" i="7"/>
  <c r="T30" i="7"/>
  <c r="T50" i="7"/>
  <c r="F9" i="9"/>
  <c r="F52" i="7"/>
  <c r="F20" i="6"/>
  <c r="AB28" i="4"/>
  <c r="AB38" i="4" s="1"/>
  <c r="AB40" i="6"/>
  <c r="J42" i="6"/>
  <c r="J35" i="4"/>
  <c r="V50" i="7"/>
  <c r="V10" i="7"/>
  <c r="V30" i="7"/>
  <c r="AD9" i="9"/>
  <c r="AD52" i="7"/>
  <c r="AD12" i="7"/>
  <c r="AD20" i="6"/>
  <c r="Y13" i="6"/>
  <c r="P40" i="6"/>
  <c r="W9" i="7"/>
  <c r="F7" i="9"/>
  <c r="F9" i="6"/>
  <c r="F49" i="7"/>
  <c r="F29" i="7"/>
  <c r="K49" i="7"/>
  <c r="R7" i="9"/>
  <c r="R9" i="7"/>
  <c r="R9" i="6"/>
  <c r="R29" i="7"/>
  <c r="R49" i="7"/>
  <c r="AD7" i="9"/>
  <c r="AD49" i="7"/>
  <c r="AD9" i="7"/>
  <c r="AD9" i="6"/>
  <c r="AD29" i="7"/>
  <c r="L50" i="7"/>
  <c r="L30" i="7"/>
  <c r="L10" i="7"/>
  <c r="X50" i="7"/>
  <c r="X30" i="7"/>
  <c r="N34" i="9"/>
  <c r="N30" i="9"/>
  <c r="N29" i="9"/>
  <c r="E22" i="8"/>
  <c r="N39" i="7"/>
  <c r="N19" i="7"/>
  <c r="N36" i="4"/>
  <c r="N26" i="6"/>
  <c r="Z34" i="9"/>
  <c r="Z30" i="9"/>
  <c r="Z29" i="9"/>
  <c r="H22" i="8"/>
  <c r="H46" i="8" s="1"/>
  <c r="Z39" i="7"/>
  <c r="Z36" i="4"/>
  <c r="Z19" i="7"/>
  <c r="H13" i="4"/>
  <c r="T14" i="4"/>
  <c r="Z9" i="7"/>
  <c r="H30" i="7"/>
  <c r="H50" i="7"/>
  <c r="H10" i="7"/>
  <c r="T14" i="3"/>
  <c r="D29" i="6"/>
  <c r="D14" i="4"/>
  <c r="D28" i="4"/>
  <c r="D38" i="4" s="1"/>
  <c r="D40" i="6"/>
  <c r="AB36" i="7"/>
  <c r="AB16" i="7"/>
  <c r="AB7" i="9"/>
  <c r="AB49" i="7"/>
  <c r="AB29" i="7"/>
  <c r="G28" i="4"/>
  <c r="G38" i="4" s="1"/>
  <c r="M35" i="4"/>
  <c r="Y36" i="4"/>
  <c r="AA9" i="7"/>
  <c r="T29" i="7"/>
  <c r="J36" i="7"/>
  <c r="J16" i="7"/>
  <c r="K36" i="7"/>
  <c r="V36" i="7"/>
  <c r="V16" i="7"/>
  <c r="U42" i="6"/>
  <c r="AB9" i="7"/>
  <c r="G9" i="8"/>
  <c r="S9" i="7"/>
  <c r="S7" i="9"/>
  <c r="S49" i="7"/>
  <c r="S9" i="6"/>
  <c r="H14" i="3"/>
  <c r="N50" i="7"/>
  <c r="N10" i="7"/>
  <c r="M14" i="3"/>
  <c r="I14" i="3"/>
  <c r="N14" i="3"/>
  <c r="Y22" i="3"/>
  <c r="R9" i="9"/>
  <c r="R52" i="7"/>
  <c r="R20" i="6"/>
  <c r="O14" i="4"/>
  <c r="O29" i="6"/>
  <c r="Y14" i="4"/>
  <c r="AF30" i="7"/>
  <c r="AF50" i="7"/>
  <c r="AF10" i="7"/>
  <c r="V29" i="9"/>
  <c r="V19" i="7"/>
  <c r="V34" i="9"/>
  <c r="V30" i="9"/>
  <c r="V39" i="7"/>
  <c r="G22" i="8"/>
  <c r="V13" i="4"/>
  <c r="V35" i="4"/>
  <c r="V42" i="6"/>
  <c r="C8" i="9"/>
  <c r="C13" i="6"/>
  <c r="C22" i="3"/>
  <c r="C17" i="3"/>
  <c r="Y50" i="7"/>
  <c r="Y30" i="7"/>
  <c r="Y10" i="7"/>
  <c r="AF49" i="7"/>
  <c r="AF7" i="9"/>
  <c r="AF29" i="7"/>
  <c r="AF9" i="7"/>
  <c r="AF9" i="6"/>
  <c r="P14" i="4"/>
  <c r="P29" i="6"/>
  <c r="Z14" i="4"/>
  <c r="N9" i="6"/>
  <c r="T10" i="7"/>
  <c r="N16" i="7"/>
  <c r="N30" i="7"/>
  <c r="J29" i="9"/>
  <c r="J34" i="9"/>
  <c r="J30" i="9"/>
  <c r="J19" i="7"/>
  <c r="J39" i="7"/>
  <c r="J13" i="4"/>
  <c r="D22" i="8"/>
  <c r="J26" i="6"/>
  <c r="D36" i="7"/>
  <c r="E36" i="7"/>
  <c r="V26" i="6"/>
  <c r="M29" i="9"/>
  <c r="M39" i="7"/>
  <c r="M34" i="9"/>
  <c r="M30" i="9"/>
  <c r="M26" i="6"/>
  <c r="M19" i="7"/>
  <c r="AE7" i="9"/>
  <c r="AE9" i="7"/>
  <c r="K9" i="8"/>
  <c r="AE29" i="7"/>
  <c r="AE49" i="7"/>
  <c r="AD8" i="9"/>
  <c r="AD13" i="6"/>
  <c r="AD51" i="7"/>
  <c r="AD22" i="3"/>
  <c r="AD17" i="3"/>
  <c r="AD11" i="7"/>
  <c r="AD58" i="9" s="1"/>
  <c r="H7" i="9"/>
  <c r="H49" i="7"/>
  <c r="H29" i="7"/>
  <c r="H9" i="6"/>
  <c r="T7" i="9"/>
  <c r="T49" i="7"/>
  <c r="T9" i="7"/>
  <c r="T9" i="6"/>
  <c r="Z50" i="7"/>
  <c r="Z30" i="7"/>
  <c r="Z10" i="7"/>
  <c r="G34" i="9"/>
  <c r="G30" i="9"/>
  <c r="G29" i="9"/>
  <c r="G39" i="7"/>
  <c r="G19" i="7"/>
  <c r="S34" i="9"/>
  <c r="S30" i="9"/>
  <c r="S26" i="6"/>
  <c r="S39" i="7"/>
  <c r="AE34" i="9"/>
  <c r="AE30" i="9"/>
  <c r="AE29" i="9"/>
  <c r="AE39" i="7"/>
  <c r="AE36" i="4"/>
  <c r="AE19" i="7"/>
  <c r="AE26" i="6"/>
  <c r="AE14" i="4"/>
  <c r="AE28" i="4"/>
  <c r="AE38" i="4" s="1"/>
  <c r="Y36" i="7"/>
  <c r="Y16" i="7"/>
  <c r="Z9" i="6"/>
  <c r="O30" i="7"/>
  <c r="C7" i="9"/>
  <c r="C9" i="8"/>
  <c r="C9" i="6"/>
  <c r="O49" i="7"/>
  <c r="F9" i="8"/>
  <c r="O7" i="9"/>
  <c r="O29" i="7"/>
  <c r="O9" i="7"/>
  <c r="O9" i="6"/>
  <c r="I9" i="8"/>
  <c r="AA49" i="7"/>
  <c r="AA7" i="9"/>
  <c r="J9" i="8"/>
  <c r="I30" i="7"/>
  <c r="I50" i="7"/>
  <c r="I10" i="7"/>
  <c r="U30" i="7"/>
  <c r="U50" i="7"/>
  <c r="Y51" i="7"/>
  <c r="Y8" i="9"/>
  <c r="D7" i="9"/>
  <c r="D29" i="7"/>
  <c r="D9" i="6"/>
  <c r="J50" i="7"/>
  <c r="J30" i="7"/>
  <c r="J10" i="7"/>
  <c r="D14" i="3"/>
  <c r="L29" i="9"/>
  <c r="L39" i="7"/>
  <c r="L34" i="9"/>
  <c r="L30" i="9"/>
  <c r="L26" i="6"/>
  <c r="L13" i="4"/>
  <c r="L19" i="7"/>
  <c r="L36" i="4"/>
  <c r="G7" i="9"/>
  <c r="G9" i="7"/>
  <c r="G49" i="7"/>
  <c r="D9" i="8"/>
  <c r="D33" i="8" s="1"/>
  <c r="G9" i="6"/>
  <c r="G29" i="7"/>
  <c r="M50" i="7"/>
  <c r="M30" i="7"/>
  <c r="M10" i="7"/>
  <c r="AD10" i="7"/>
  <c r="R8" i="9"/>
  <c r="R13" i="6"/>
  <c r="R22" i="3"/>
  <c r="R17" i="3"/>
  <c r="R51" i="7"/>
  <c r="C30" i="3"/>
  <c r="Y30" i="3"/>
  <c r="H29" i="9"/>
  <c r="H34" i="9"/>
  <c r="H39" i="7"/>
  <c r="H30" i="9"/>
  <c r="H19" i="7"/>
  <c r="H26" i="6"/>
  <c r="T29" i="9"/>
  <c r="T30" i="9"/>
  <c r="T34" i="9"/>
  <c r="T39" i="7"/>
  <c r="AF29" i="9"/>
  <c r="K22" i="8"/>
  <c r="AF34" i="9"/>
  <c r="AF30" i="9"/>
  <c r="AF19" i="7"/>
  <c r="AF26" i="6"/>
  <c r="AF39" i="7"/>
  <c r="AF42" i="6"/>
  <c r="AF35" i="4"/>
  <c r="AA9" i="6"/>
  <c r="X10" i="7"/>
  <c r="Z49" i="7"/>
  <c r="Z29" i="7"/>
  <c r="Z7" i="9"/>
  <c r="P7" i="9"/>
  <c r="P29" i="7"/>
  <c r="P9" i="7"/>
  <c r="P49" i="7"/>
  <c r="P9" i="6"/>
  <c r="X39" i="7"/>
  <c r="X29" i="9"/>
  <c r="X34" i="9"/>
  <c r="X26" i="6"/>
  <c r="X30" i="9"/>
  <c r="X13" i="4"/>
  <c r="X36" i="4"/>
  <c r="F8" i="9"/>
  <c r="F13" i="6"/>
  <c r="F51" i="7"/>
  <c r="F22" i="3"/>
  <c r="F17" i="3"/>
  <c r="AA14" i="3"/>
  <c r="AB14" i="9" s="1"/>
  <c r="AB49" i="9" s="1"/>
  <c r="Y29" i="9"/>
  <c r="Y39" i="7"/>
  <c r="Y34" i="9"/>
  <c r="Y26" i="6"/>
  <c r="Y30" i="9"/>
  <c r="M7" i="9"/>
  <c r="M49" i="7"/>
  <c r="M29" i="7"/>
  <c r="M9" i="7"/>
  <c r="Y49" i="7"/>
  <c r="Y29" i="7"/>
  <c r="Y7" i="9"/>
  <c r="Y9" i="7"/>
  <c r="Y9" i="6"/>
  <c r="D10" i="8"/>
  <c r="D34" i="8" s="1"/>
  <c r="G30" i="7"/>
  <c r="G50" i="7"/>
  <c r="G10" i="7"/>
  <c r="G10" i="8"/>
  <c r="S50" i="7"/>
  <c r="K10" i="8"/>
  <c r="AE30" i="7"/>
  <c r="AE10" i="7"/>
  <c r="S14" i="3"/>
  <c r="U14" i="9" s="1"/>
  <c r="U49" i="9" s="1"/>
  <c r="I34" i="9"/>
  <c r="I30" i="9"/>
  <c r="I29" i="9"/>
  <c r="I19" i="7"/>
  <c r="I39" i="7"/>
  <c r="I13" i="4"/>
  <c r="I26" i="6"/>
  <c r="U34" i="9"/>
  <c r="U30" i="9"/>
  <c r="U29" i="9"/>
  <c r="U19" i="7"/>
  <c r="U39" i="7"/>
  <c r="U13" i="4"/>
  <c r="C14" i="4"/>
  <c r="C29" i="6"/>
  <c r="C28" i="4"/>
  <c r="C38" i="4" s="1"/>
  <c r="C40" i="6"/>
  <c r="O40" i="6"/>
  <c r="O28" i="4"/>
  <c r="O38" i="4" s="1"/>
  <c r="AA28" i="4"/>
  <c r="AA38" i="4" s="1"/>
  <c r="AA40" i="6"/>
  <c r="I35" i="4"/>
  <c r="I42" i="6"/>
  <c r="J36" i="4"/>
  <c r="J17" i="8"/>
  <c r="AB9" i="6"/>
  <c r="G26" i="6"/>
  <c r="AA29" i="6"/>
  <c r="AF16" i="7"/>
  <c r="S30" i="7"/>
  <c r="AE50" i="7"/>
  <c r="F37" i="8"/>
  <c r="E7" i="9"/>
  <c r="E9" i="6"/>
  <c r="Q9" i="7"/>
  <c r="Q9" i="6"/>
  <c r="Q7" i="9"/>
  <c r="Q29" i="7"/>
  <c r="AC7" i="9"/>
  <c r="AC49" i="7"/>
  <c r="AC9" i="7"/>
  <c r="AC9" i="6"/>
  <c r="K50" i="7"/>
  <c r="E10" i="8"/>
  <c r="K30" i="7"/>
  <c r="K10" i="7"/>
  <c r="W50" i="7"/>
  <c r="W30" i="7"/>
  <c r="W10" i="7"/>
  <c r="E14" i="3"/>
  <c r="F31" i="7" s="1"/>
  <c r="Q14" i="3"/>
  <c r="F11" i="8" s="1"/>
  <c r="AC14" i="3"/>
  <c r="AD31" i="7" s="1"/>
  <c r="K29" i="9"/>
  <c r="K39" i="7"/>
  <c r="K34" i="9"/>
  <c r="K30" i="9"/>
  <c r="K19" i="7"/>
  <c r="K26" i="6"/>
  <c r="W39" i="7"/>
  <c r="W29" i="9"/>
  <c r="W19" i="7"/>
  <c r="W34" i="9"/>
  <c r="W26" i="6"/>
  <c r="W30" i="9"/>
  <c r="K36" i="4"/>
  <c r="W36" i="4"/>
  <c r="N36" i="7"/>
  <c r="Z36" i="7"/>
  <c r="AA26" i="6"/>
  <c r="L49" i="7"/>
  <c r="F31" i="8"/>
  <c r="I32" i="8"/>
  <c r="E49" i="8"/>
  <c r="H50" i="8"/>
  <c r="C17" i="8"/>
  <c r="O36" i="7"/>
  <c r="F17" i="8"/>
  <c r="O16" i="7"/>
  <c r="I17" i="8"/>
  <c r="AA36" i="7"/>
  <c r="AA16" i="7"/>
  <c r="K9" i="7"/>
  <c r="E29" i="7"/>
  <c r="AC29" i="7"/>
  <c r="K17" i="8"/>
  <c r="K41" i="8" s="1"/>
  <c r="U16" i="7"/>
  <c r="AD19" i="7"/>
  <c r="AA30" i="7"/>
  <c r="Q49" i="7"/>
  <c r="H10" i="8"/>
  <c r="D42" i="8"/>
  <c r="G43" i="8"/>
  <c r="U7" i="9"/>
  <c r="U49" i="7"/>
  <c r="C29" i="9"/>
  <c r="C34" i="9"/>
  <c r="C30" i="9"/>
  <c r="Q16" i="7"/>
  <c r="F10" i="8"/>
  <c r="O10" i="7"/>
  <c r="O50" i="7"/>
  <c r="J10" i="8"/>
  <c r="AA10" i="7"/>
  <c r="U14" i="3"/>
  <c r="Y11" i="7" s="1"/>
  <c r="Y58" i="9" s="1"/>
  <c r="AA29" i="9"/>
  <c r="AA34" i="9"/>
  <c r="AA30" i="9"/>
  <c r="AA39" i="7"/>
  <c r="U9" i="6"/>
  <c r="J7" i="9"/>
  <c r="J49" i="7"/>
  <c r="J29" i="7"/>
  <c r="V7" i="9"/>
  <c r="V29" i="7"/>
  <c r="V49" i="7"/>
  <c r="P10" i="7"/>
  <c r="P50" i="7"/>
  <c r="P30" i="7"/>
  <c r="J14" i="3"/>
  <c r="V14" i="3"/>
  <c r="D29" i="9"/>
  <c r="D34" i="9"/>
  <c r="P34" i="9"/>
  <c r="P30" i="9"/>
  <c r="P39" i="7"/>
  <c r="P29" i="9"/>
  <c r="P19" i="7"/>
  <c r="J22" i="8"/>
  <c r="AB29" i="9"/>
  <c r="AB34" i="9"/>
  <c r="AB30" i="9"/>
  <c r="AB39" i="7"/>
  <c r="AB19" i="7"/>
  <c r="D36" i="4"/>
  <c r="P36" i="4"/>
  <c r="AB36" i="4"/>
  <c r="D17" i="8"/>
  <c r="G17" i="8"/>
  <c r="G41" i="8" s="1"/>
  <c r="S36" i="7"/>
  <c r="V9" i="6"/>
  <c r="P26" i="6"/>
  <c r="G16" i="7"/>
  <c r="Z16" i="7"/>
  <c r="F30" i="7"/>
  <c r="Q36" i="7"/>
  <c r="I7" i="9"/>
  <c r="I49" i="7"/>
  <c r="I29" i="7"/>
  <c r="O29" i="9"/>
  <c r="O34" i="9"/>
  <c r="O30" i="9"/>
  <c r="O39" i="7"/>
  <c r="C36" i="4"/>
  <c r="AA36" i="4"/>
  <c r="R36" i="7"/>
  <c r="O26" i="6"/>
  <c r="AB10" i="7"/>
  <c r="K7" i="9"/>
  <c r="E9" i="8"/>
  <c r="W7" i="9"/>
  <c r="H9" i="8"/>
  <c r="W29" i="7"/>
  <c r="W49" i="7"/>
  <c r="Q50" i="7"/>
  <c r="Q10" i="7"/>
  <c r="Q30" i="7"/>
  <c r="AC50" i="7"/>
  <c r="AC10" i="7"/>
  <c r="K14" i="3"/>
  <c r="O11" i="7" s="1"/>
  <c r="O58" i="9" s="1"/>
  <c r="W14" i="3"/>
  <c r="E29" i="9"/>
  <c r="E34" i="9"/>
  <c r="Q34" i="9"/>
  <c r="Q30" i="9"/>
  <c r="Q29" i="9"/>
  <c r="Q19" i="7"/>
  <c r="AC29" i="9"/>
  <c r="AC34" i="9"/>
  <c r="AC30" i="9"/>
  <c r="AC39" i="7"/>
  <c r="AC36" i="4"/>
  <c r="AC19" i="7"/>
  <c r="K13" i="4"/>
  <c r="W13" i="4"/>
  <c r="K35" i="4"/>
  <c r="W35" i="4"/>
  <c r="E36" i="4"/>
  <c r="Q36" i="4"/>
  <c r="H36" i="7"/>
  <c r="T36" i="7"/>
  <c r="W9" i="6"/>
  <c r="Q26" i="6"/>
  <c r="U9" i="7"/>
  <c r="H16" i="7"/>
  <c r="O19" i="7"/>
  <c r="L7" i="9"/>
  <c r="L9" i="7"/>
  <c r="L9" i="6"/>
  <c r="X7" i="9"/>
  <c r="X29" i="7"/>
  <c r="X49" i="7"/>
  <c r="X9" i="7"/>
  <c r="X9" i="6"/>
  <c r="R50" i="7"/>
  <c r="AD50" i="7"/>
  <c r="AD30" i="7"/>
  <c r="L14" i="3"/>
  <c r="X14" i="3"/>
  <c r="F29" i="9"/>
  <c r="F34" i="9"/>
  <c r="F30" i="9"/>
  <c r="F39" i="7"/>
  <c r="F26" i="6"/>
  <c r="R30" i="9"/>
  <c r="F22" i="8"/>
  <c r="F46" i="8" s="1"/>
  <c r="R34" i="9"/>
  <c r="R26" i="6"/>
  <c r="AD29" i="9"/>
  <c r="AD34" i="9"/>
  <c r="AD30" i="9"/>
  <c r="AD39" i="7"/>
  <c r="I22" i="8"/>
  <c r="AD26" i="6"/>
  <c r="F14" i="4"/>
  <c r="R14" i="4"/>
  <c r="AD14" i="4"/>
  <c r="F28" i="4"/>
  <c r="F38" i="4" s="1"/>
  <c r="R28" i="4"/>
  <c r="R38" i="4" s="1"/>
  <c r="AD28" i="4"/>
  <c r="AD38" i="4" s="1"/>
  <c r="L35" i="4"/>
  <c r="X35" i="4"/>
  <c r="F36" i="4"/>
  <c r="R36" i="4"/>
  <c r="I9" i="6"/>
  <c r="V9" i="7"/>
  <c r="R10" i="7"/>
  <c r="I16" i="7"/>
  <c r="R19" i="7"/>
  <c r="AC36" i="7"/>
  <c r="I38" i="8"/>
  <c r="H52" i="8"/>
  <c r="W37" i="9"/>
  <c r="X37" i="9"/>
  <c r="E47" i="8"/>
  <c r="E51" i="8"/>
  <c r="E17" i="8"/>
  <c r="E41" i="8" s="1"/>
  <c r="H17" i="8"/>
  <c r="H41" i="8" s="1"/>
  <c r="W36" i="7"/>
  <c r="D44" i="8"/>
  <c r="I48" i="8"/>
  <c r="F51" i="8"/>
  <c r="E45" i="8"/>
  <c r="H51" i="8"/>
  <c r="G51" i="8"/>
  <c r="G45" i="8"/>
  <c r="D38" i="8"/>
  <c r="K40" i="8"/>
  <c r="H43" i="8"/>
  <c r="E50" i="8"/>
  <c r="K52" i="8"/>
  <c r="F31" i="10"/>
  <c r="R31" i="10"/>
  <c r="H42" i="8"/>
  <c r="K47" i="8"/>
  <c r="K51" i="8"/>
  <c r="H31" i="10"/>
  <c r="T31" i="10"/>
  <c r="M37" i="9"/>
  <c r="Y37" i="9"/>
  <c r="G37" i="8"/>
  <c r="G49" i="8"/>
  <c r="J31" i="10"/>
  <c r="E40" i="8"/>
  <c r="D37" i="9"/>
  <c r="P37" i="9"/>
  <c r="AB37" i="9"/>
  <c r="R31" i="7" l="1"/>
  <c r="B8" i="14"/>
  <c r="C8" i="14" s="1"/>
  <c r="AF11" i="7"/>
  <c r="AF58" i="9" s="1"/>
  <c r="G22" i="3"/>
  <c r="AF31" i="7"/>
  <c r="G17" i="3"/>
  <c r="S29" i="6"/>
  <c r="S14" i="4"/>
  <c r="R14" i="9"/>
  <c r="R49" i="9" s="1"/>
  <c r="AC14" i="4"/>
  <c r="G34" i="8"/>
  <c r="AE14" i="9"/>
  <c r="AE49" i="9" s="1"/>
  <c r="Q14" i="4"/>
  <c r="H34" i="8"/>
  <c r="G14" i="4"/>
  <c r="K33" i="8"/>
  <c r="G30" i="3"/>
  <c r="G52" i="7" s="1"/>
  <c r="E14" i="4"/>
  <c r="H33" i="8"/>
  <c r="D41" i="8"/>
  <c r="F33" i="8"/>
  <c r="D46" i="8"/>
  <c r="F55" i="8"/>
  <c r="J8" i="9"/>
  <c r="M14" i="9"/>
  <c r="M49" i="9" s="1"/>
  <c r="J31" i="7"/>
  <c r="J51" i="7"/>
  <c r="J11" i="7"/>
  <c r="J58" i="9" s="1"/>
  <c r="J30" i="3"/>
  <c r="J13" i="6"/>
  <c r="J17" i="3"/>
  <c r="J22" i="3"/>
  <c r="I38" i="9"/>
  <c r="I39" i="9" s="1"/>
  <c r="AE16" i="6"/>
  <c r="AE19" i="3"/>
  <c r="AE23" i="3"/>
  <c r="Y38" i="9"/>
  <c r="Y39" i="9" s="1"/>
  <c r="X29" i="6"/>
  <c r="X14" i="4"/>
  <c r="C9" i="9"/>
  <c r="C20" i="6"/>
  <c r="K14" i="9"/>
  <c r="K49" i="9" s="1"/>
  <c r="H51" i="7"/>
  <c r="H8" i="9"/>
  <c r="H31" i="7"/>
  <c r="H11" i="7"/>
  <c r="H58" i="9" s="1"/>
  <c r="H13" i="6"/>
  <c r="H17" i="3"/>
  <c r="H22" i="3"/>
  <c r="H30" i="3"/>
  <c r="Y10" i="9"/>
  <c r="Y18" i="6"/>
  <c r="Y24" i="3"/>
  <c r="D31" i="7"/>
  <c r="G14" i="9"/>
  <c r="G49" i="9" s="1"/>
  <c r="D8" i="9"/>
  <c r="D17" i="3"/>
  <c r="D22" i="3"/>
  <c r="D30" i="3"/>
  <c r="D13" i="6"/>
  <c r="V38" i="9"/>
  <c r="V39" i="9" s="1"/>
  <c r="F38" i="9"/>
  <c r="F39" i="9" s="1"/>
  <c r="F40" i="9"/>
  <c r="V8" i="9"/>
  <c r="Y14" i="9"/>
  <c r="Y49" i="9" s="1"/>
  <c r="V31" i="7"/>
  <c r="V30" i="3"/>
  <c r="Z12" i="7" s="1"/>
  <c r="V11" i="7"/>
  <c r="V58" i="9" s="1"/>
  <c r="V51" i="7"/>
  <c r="V13" i="6"/>
  <c r="V22" i="3"/>
  <c r="V17" i="3"/>
  <c r="C38" i="9"/>
  <c r="C39" i="9" s="1"/>
  <c r="S38" i="9"/>
  <c r="S39" i="9" s="1"/>
  <c r="N38" i="9"/>
  <c r="N39" i="9" s="1"/>
  <c r="K12" i="8"/>
  <c r="AE9" i="9"/>
  <c r="AE52" i="7"/>
  <c r="AE32" i="7"/>
  <c r="AE20" i="6"/>
  <c r="G9" i="9"/>
  <c r="G32" i="7"/>
  <c r="AC38" i="9"/>
  <c r="AC39" i="9" s="1"/>
  <c r="AC40" i="9"/>
  <c r="AD14" i="9"/>
  <c r="AD49" i="9" s="1"/>
  <c r="AA31" i="7"/>
  <c r="AA8" i="9"/>
  <c r="I11" i="8"/>
  <c r="AA51" i="7"/>
  <c r="AA11" i="7"/>
  <c r="AA58" i="9" s="1"/>
  <c r="J11" i="8"/>
  <c r="J55" i="8" s="1"/>
  <c r="AA22" i="3"/>
  <c r="AA17" i="3"/>
  <c r="AA13" i="6"/>
  <c r="AA30" i="3"/>
  <c r="X8" i="9"/>
  <c r="AA14" i="9"/>
  <c r="AA49" i="9" s="1"/>
  <c r="X31" i="7"/>
  <c r="X13" i="6"/>
  <c r="X30" i="3"/>
  <c r="X11" i="7"/>
  <c r="X58" i="9" s="1"/>
  <c r="X51" i="7"/>
  <c r="X22" i="3"/>
  <c r="X17" i="3"/>
  <c r="X14" i="9"/>
  <c r="X49" i="9" s="1"/>
  <c r="U51" i="7"/>
  <c r="U11" i="7"/>
  <c r="U58" i="9" s="1"/>
  <c r="U30" i="3"/>
  <c r="U31" i="7"/>
  <c r="U13" i="6"/>
  <c r="U8" i="9"/>
  <c r="U17" i="3"/>
  <c r="U22" i="3"/>
  <c r="E34" i="8"/>
  <c r="F16" i="6"/>
  <c r="F23" i="3"/>
  <c r="F19" i="3"/>
  <c r="J29" i="6"/>
  <c r="J14" i="4"/>
  <c r="G33" i="8"/>
  <c r="Z38" i="9"/>
  <c r="Z39" i="9" s="1"/>
  <c r="AF9" i="9"/>
  <c r="AF52" i="7"/>
  <c r="AF20" i="6"/>
  <c r="AF12" i="7"/>
  <c r="AF32" i="7"/>
  <c r="AE11" i="7"/>
  <c r="AE58" i="9" s="1"/>
  <c r="O9" i="9"/>
  <c r="O52" i="7"/>
  <c r="O32" i="7"/>
  <c r="O20" i="6"/>
  <c r="Z9" i="9"/>
  <c r="Z52" i="7"/>
  <c r="Z32" i="7"/>
  <c r="Z20" i="6"/>
  <c r="P16" i="6"/>
  <c r="P19" i="3"/>
  <c r="P23" i="3"/>
  <c r="I46" i="8"/>
  <c r="P9" i="9"/>
  <c r="P52" i="7"/>
  <c r="S15" i="9"/>
  <c r="S48" i="9" s="1"/>
  <c r="P32" i="7"/>
  <c r="P20" i="6"/>
  <c r="Z19" i="3"/>
  <c r="Z16" i="6"/>
  <c r="Z23" i="3"/>
  <c r="AD38" i="9"/>
  <c r="AD39" i="9" s="1"/>
  <c r="AD40" i="9"/>
  <c r="L8" i="9"/>
  <c r="O14" i="9"/>
  <c r="O49" i="9" s="1"/>
  <c r="L51" i="7"/>
  <c r="L13" i="6"/>
  <c r="L30" i="3"/>
  <c r="P12" i="7" s="1"/>
  <c r="L11" i="7"/>
  <c r="L58" i="9" s="1"/>
  <c r="L22" i="3"/>
  <c r="L17" i="3"/>
  <c r="L31" i="7"/>
  <c r="O38" i="9"/>
  <c r="O39" i="9" s="1"/>
  <c r="I41" i="8"/>
  <c r="K38" i="9"/>
  <c r="K39" i="9" s="1"/>
  <c r="K34" i="8"/>
  <c r="G38" i="9"/>
  <c r="G39" i="9" s="1"/>
  <c r="C11" i="8"/>
  <c r="C55" i="8" s="1"/>
  <c r="Q14" i="9"/>
  <c r="Q49" i="9" s="1"/>
  <c r="N8" i="9"/>
  <c r="N51" i="7"/>
  <c r="N11" i="7"/>
  <c r="N58" i="9" s="1"/>
  <c r="N13" i="6"/>
  <c r="N31" i="7"/>
  <c r="N17" i="3"/>
  <c r="N22" i="3"/>
  <c r="R11" i="7"/>
  <c r="R58" i="9" s="1"/>
  <c r="N30" i="3"/>
  <c r="J14" i="9"/>
  <c r="J49" i="9" s="1"/>
  <c r="O16" i="6"/>
  <c r="O19" i="3"/>
  <c r="O23" i="3"/>
  <c r="U38" i="9"/>
  <c r="U39" i="9" s="1"/>
  <c r="F14" i="9"/>
  <c r="F49" i="9" s="1"/>
  <c r="I34" i="8"/>
  <c r="AF16" i="6"/>
  <c r="AF23" i="3"/>
  <c r="AF19" i="3"/>
  <c r="K55" i="8"/>
  <c r="L29" i="6"/>
  <c r="L14" i="4"/>
  <c r="AD16" i="6"/>
  <c r="AD23" i="3"/>
  <c r="AD19" i="3"/>
  <c r="L14" i="9"/>
  <c r="L49" i="9" s="1"/>
  <c r="I51" i="7"/>
  <c r="I8" i="9"/>
  <c r="I31" i="7"/>
  <c r="I11" i="7"/>
  <c r="I58" i="9" s="1"/>
  <c r="I30" i="3"/>
  <c r="I13" i="6"/>
  <c r="I17" i="3"/>
  <c r="I22" i="3"/>
  <c r="AB9" i="9"/>
  <c r="AB52" i="7"/>
  <c r="AB32" i="7"/>
  <c r="AB20" i="6"/>
  <c r="AB12" i="7"/>
  <c r="Z11" i="7"/>
  <c r="Z58" i="9" s="1"/>
  <c r="S14" i="9"/>
  <c r="S49" i="9" s="1"/>
  <c r="C16" i="6"/>
  <c r="C23" i="3"/>
  <c r="C19" i="3"/>
  <c r="B9" i="14"/>
  <c r="C9" i="14" s="1"/>
  <c r="E38" i="9"/>
  <c r="E39" i="9" s="1"/>
  <c r="E40" i="9"/>
  <c r="F41" i="8"/>
  <c r="R38" i="9"/>
  <c r="R39" i="9" s="1"/>
  <c r="E33" i="8"/>
  <c r="AC8" i="9"/>
  <c r="AF14" i="9"/>
  <c r="AF49" i="9" s="1"/>
  <c r="AC13" i="6"/>
  <c r="AC51" i="7"/>
  <c r="AC22" i="3"/>
  <c r="AC17" i="3"/>
  <c r="AC31" i="7"/>
  <c r="AC11" i="7"/>
  <c r="AC58" i="9" s="1"/>
  <c r="AC30" i="3"/>
  <c r="I14" i="4"/>
  <c r="I29" i="6"/>
  <c r="I14" i="9"/>
  <c r="I49" i="9" s="1"/>
  <c r="H38" i="9"/>
  <c r="H39" i="9" s="1"/>
  <c r="H40" i="9"/>
  <c r="AE38" i="9"/>
  <c r="AE39" i="9" s="1"/>
  <c r="M38" i="9"/>
  <c r="M39" i="9" s="1"/>
  <c r="M40" i="9"/>
  <c r="J38" i="9"/>
  <c r="J39" i="9" s="1"/>
  <c r="P14" i="9"/>
  <c r="P49" i="9" s="1"/>
  <c r="M8" i="9"/>
  <c r="M51" i="7"/>
  <c r="M11" i="7"/>
  <c r="M58" i="9" s="1"/>
  <c r="M13" i="6"/>
  <c r="M17" i="3"/>
  <c r="M30" i="3"/>
  <c r="M31" i="7"/>
  <c r="M22" i="3"/>
  <c r="U29" i="6"/>
  <c r="U14" i="4"/>
  <c r="T38" i="9"/>
  <c r="T39" i="9" s="1"/>
  <c r="AA38" i="9"/>
  <c r="AA39" i="9" s="1"/>
  <c r="S8" i="9"/>
  <c r="S51" i="7"/>
  <c r="V14" i="9"/>
  <c r="V49" i="9" s="1"/>
  <c r="G11" i="8"/>
  <c r="S13" i="6"/>
  <c r="S31" i="7"/>
  <c r="S11" i="7"/>
  <c r="S58" i="9" s="1"/>
  <c r="S17" i="3"/>
  <c r="S22" i="3"/>
  <c r="S30" i="3"/>
  <c r="W14" i="9"/>
  <c r="W49" i="9" s="1"/>
  <c r="T51" i="7"/>
  <c r="T11" i="7"/>
  <c r="T58" i="9" s="1"/>
  <c r="T13" i="6"/>
  <c r="T31" i="7"/>
  <c r="T8" i="9"/>
  <c r="T22" i="3"/>
  <c r="T30" i="3"/>
  <c r="T17" i="3"/>
  <c r="Q38" i="9"/>
  <c r="Q39" i="9" s="1"/>
  <c r="Q40" i="9"/>
  <c r="W29" i="6"/>
  <c r="W14" i="4"/>
  <c r="K14" i="4"/>
  <c r="K29" i="6"/>
  <c r="Z14" i="9"/>
  <c r="Z49" i="9" s="1"/>
  <c r="H11" i="8"/>
  <c r="W31" i="7"/>
  <c r="W30" i="3"/>
  <c r="W11" i="7"/>
  <c r="W58" i="9" s="1"/>
  <c r="W51" i="7"/>
  <c r="W22" i="3"/>
  <c r="W17" i="3"/>
  <c r="W8" i="9"/>
  <c r="W13" i="6"/>
  <c r="P38" i="9"/>
  <c r="P39" i="9" s="1"/>
  <c r="P40" i="9"/>
  <c r="F34" i="8"/>
  <c r="Q8" i="9"/>
  <c r="Q51" i="7"/>
  <c r="T14" i="9"/>
  <c r="T49" i="9" s="1"/>
  <c r="Q13" i="6"/>
  <c r="Q31" i="7"/>
  <c r="Q22" i="3"/>
  <c r="Q17" i="3"/>
  <c r="Q30" i="3"/>
  <c r="F12" i="8" s="1"/>
  <c r="Q11" i="7"/>
  <c r="Q58" i="9" s="1"/>
  <c r="AF38" i="9"/>
  <c r="AF39" i="9" s="1"/>
  <c r="AF40" i="9"/>
  <c r="Y31" i="7"/>
  <c r="I33" i="8"/>
  <c r="V29" i="6"/>
  <c r="V14" i="4"/>
  <c r="H29" i="6"/>
  <c r="H14" i="4"/>
  <c r="E46" i="8"/>
  <c r="AB11" i="7"/>
  <c r="AB58" i="9" s="1"/>
  <c r="R16" i="6"/>
  <c r="R19" i="3"/>
  <c r="R23" i="3"/>
  <c r="AB38" i="9"/>
  <c r="AB39" i="9" s="1"/>
  <c r="X38" i="9"/>
  <c r="X39" i="9" s="1"/>
  <c r="D11" i="8"/>
  <c r="AB31" i="7"/>
  <c r="N14" i="9"/>
  <c r="N49" i="9" s="1"/>
  <c r="K8" i="9"/>
  <c r="K51" i="7"/>
  <c r="K11" i="7"/>
  <c r="K58" i="9" s="1"/>
  <c r="E11" i="8"/>
  <c r="K30" i="3"/>
  <c r="K13" i="6"/>
  <c r="K22" i="3"/>
  <c r="K17" i="3"/>
  <c r="K31" i="7"/>
  <c r="D38" i="9"/>
  <c r="D39" i="9" s="1"/>
  <c r="D40" i="9"/>
  <c r="W38" i="9"/>
  <c r="W39" i="9" s="1"/>
  <c r="W40" i="9"/>
  <c r="E8" i="9"/>
  <c r="H14" i="9"/>
  <c r="H49" i="9" s="1"/>
  <c r="E13" i="6"/>
  <c r="E22" i="3"/>
  <c r="E17" i="3"/>
  <c r="E31" i="7"/>
  <c r="E30" i="3"/>
  <c r="B11" i="14"/>
  <c r="C11" i="14" s="1"/>
  <c r="K46" i="8"/>
  <c r="Y9" i="9"/>
  <c r="Y32" i="7"/>
  <c r="Y12" i="7"/>
  <c r="Y52" i="7"/>
  <c r="Y20" i="6"/>
  <c r="L38" i="9"/>
  <c r="L39" i="9" s="1"/>
  <c r="G46" i="8"/>
  <c r="G19" i="3"/>
  <c r="G23" i="3"/>
  <c r="G16" i="6"/>
  <c r="AB16" i="6"/>
  <c r="AB23" i="3"/>
  <c r="AB19" i="3"/>
  <c r="AC14" i="9"/>
  <c r="AC49" i="9" s="1"/>
  <c r="R40" i="9" l="1"/>
  <c r="Z40" i="9"/>
  <c r="L40" i="9"/>
  <c r="AC15" i="9"/>
  <c r="AC48" i="9" s="1"/>
  <c r="N40" i="9"/>
  <c r="O40" i="9"/>
  <c r="B5" i="14"/>
  <c r="C5" i="14" s="1"/>
  <c r="AA40" i="9"/>
  <c r="K35" i="8"/>
  <c r="K57" i="8" s="1"/>
  <c r="K40" i="9"/>
  <c r="R15" i="9"/>
  <c r="R48" i="9" s="1"/>
  <c r="G12" i="7"/>
  <c r="S40" i="9"/>
  <c r="G20" i="6"/>
  <c r="J23" i="3"/>
  <c r="J19" i="3"/>
  <c r="J16" i="6"/>
  <c r="Q16" i="6"/>
  <c r="Q23" i="3"/>
  <c r="Q19" i="3"/>
  <c r="R16" i="9" s="1"/>
  <c r="X15" i="9"/>
  <c r="X48" i="9" s="1"/>
  <c r="U9" i="9"/>
  <c r="U32" i="7"/>
  <c r="U52" i="7"/>
  <c r="U20" i="6"/>
  <c r="U12" i="7"/>
  <c r="H32" i="7"/>
  <c r="H52" i="7"/>
  <c r="H9" i="9"/>
  <c r="H20" i="6"/>
  <c r="K15" i="9"/>
  <c r="K48" i="9" s="1"/>
  <c r="H12" i="7"/>
  <c r="I15" i="9"/>
  <c r="I48" i="9" s="1"/>
  <c r="U40" i="9"/>
  <c r="W9" i="9"/>
  <c r="Z15" i="9"/>
  <c r="Z48" i="9" s="1"/>
  <c r="W32" i="7"/>
  <c r="W52" i="7"/>
  <c r="H12" i="8"/>
  <c r="W12" i="7"/>
  <c r="W20" i="6"/>
  <c r="O53" i="7"/>
  <c r="F15" i="8"/>
  <c r="O18" i="6"/>
  <c r="O24" i="3"/>
  <c r="O10" i="9"/>
  <c r="L16" i="6"/>
  <c r="L23" i="3"/>
  <c r="L19" i="3"/>
  <c r="Z53" i="7"/>
  <c r="Z10" i="9"/>
  <c r="Z18" i="6"/>
  <c r="Z34" i="7"/>
  <c r="Z24" i="3"/>
  <c r="F10" i="9"/>
  <c r="F18" i="6"/>
  <c r="F53" i="7"/>
  <c r="F24" i="3"/>
  <c r="AA16" i="6"/>
  <c r="AA19" i="3"/>
  <c r="AB16" i="9" s="1"/>
  <c r="AA23" i="3"/>
  <c r="J15" i="9"/>
  <c r="J48" i="9" s="1"/>
  <c r="Y40" i="9"/>
  <c r="AC16" i="6"/>
  <c r="AC23" i="3"/>
  <c r="AC19" i="3"/>
  <c r="AE16" i="9" s="1"/>
  <c r="G10" i="9"/>
  <c r="G14" i="7"/>
  <c r="G59" i="9" s="1"/>
  <c r="G60" i="9" s="1"/>
  <c r="G34" i="7"/>
  <c r="G18" i="6"/>
  <c r="G24" i="3"/>
  <c r="G53" i="7"/>
  <c r="H15" i="9"/>
  <c r="H48" i="9" s="1"/>
  <c r="E9" i="9"/>
  <c r="E20" i="6"/>
  <c r="E32" i="7"/>
  <c r="F32" i="7"/>
  <c r="K16" i="6"/>
  <c r="K23" i="3"/>
  <c r="K19" i="3"/>
  <c r="O14" i="7" s="1"/>
  <c r="O59" i="9" s="1"/>
  <c r="O60" i="9" s="1"/>
  <c r="X40" i="9"/>
  <c r="G55" i="8"/>
  <c r="G35" i="8"/>
  <c r="G57" i="8" s="1"/>
  <c r="F16" i="9"/>
  <c r="C10" i="9"/>
  <c r="C24" i="3"/>
  <c r="C18" i="6"/>
  <c r="I23" i="3"/>
  <c r="I19" i="3"/>
  <c r="I16" i="6"/>
  <c r="X16" i="6"/>
  <c r="X23" i="3"/>
  <c r="X19" i="3"/>
  <c r="AB14" i="7" s="1"/>
  <c r="AB59" i="9" s="1"/>
  <c r="AB60" i="9" s="1"/>
  <c r="AB10" i="9"/>
  <c r="AB18" i="6"/>
  <c r="AB24" i="3"/>
  <c r="AB53" i="7"/>
  <c r="P34" i="7"/>
  <c r="P53" i="7"/>
  <c r="P14" i="7"/>
  <c r="P59" i="9" s="1"/>
  <c r="P60" i="9" s="1"/>
  <c r="P24" i="3"/>
  <c r="P10" i="9"/>
  <c r="P18" i="6"/>
  <c r="D16" i="6"/>
  <c r="D19" i="3"/>
  <c r="D23" i="3"/>
  <c r="AB40" i="9"/>
  <c r="H55" i="8"/>
  <c r="H35" i="8"/>
  <c r="H57" i="8" s="1"/>
  <c r="P15" i="9"/>
  <c r="P48" i="9" s="1"/>
  <c r="M12" i="7"/>
  <c r="M9" i="9"/>
  <c r="M52" i="7"/>
  <c r="M32" i="7"/>
  <c r="M20" i="6"/>
  <c r="AE40" i="9"/>
  <c r="W16" i="6"/>
  <c r="W23" i="3"/>
  <c r="W19" i="3"/>
  <c r="D9" i="9"/>
  <c r="G15" i="9"/>
  <c r="G48" i="9" s="1"/>
  <c r="D32" i="7"/>
  <c r="D20" i="6"/>
  <c r="AD10" i="9"/>
  <c r="AD34" i="7"/>
  <c r="AD18" i="6"/>
  <c r="AD24" i="3"/>
  <c r="AD14" i="7"/>
  <c r="AD59" i="9" s="1"/>
  <c r="AD60" i="9" s="1"/>
  <c r="AD53" i="7"/>
  <c r="M15" i="9"/>
  <c r="M48" i="9" s="1"/>
  <c r="J32" i="7"/>
  <c r="J52" i="7"/>
  <c r="J9" i="9"/>
  <c r="J20" i="6"/>
  <c r="J12" i="7"/>
  <c r="AF15" i="9"/>
  <c r="AF48" i="9" s="1"/>
  <c r="AC52" i="7"/>
  <c r="AC9" i="9"/>
  <c r="AC12" i="7"/>
  <c r="AC32" i="7"/>
  <c r="AC20" i="6"/>
  <c r="AD32" i="7"/>
  <c r="S16" i="6"/>
  <c r="S19" i="3"/>
  <c r="S23" i="3"/>
  <c r="AE15" i="9"/>
  <c r="AE48" i="9" s="1"/>
  <c r="F15" i="9"/>
  <c r="F48" i="9" s="1"/>
  <c r="Y15" i="9"/>
  <c r="Y48" i="9" s="1"/>
  <c r="V9" i="9"/>
  <c r="V32" i="7"/>
  <c r="V52" i="7"/>
  <c r="V20" i="6"/>
  <c r="V12" i="7"/>
  <c r="M16" i="6"/>
  <c r="M19" i="3"/>
  <c r="M23" i="3"/>
  <c r="O15" i="9"/>
  <c r="O48" i="9" s="1"/>
  <c r="L9" i="9"/>
  <c r="L52" i="7"/>
  <c r="L12" i="7"/>
  <c r="L20" i="6"/>
  <c r="L32" i="7"/>
  <c r="D12" i="8"/>
  <c r="B12" i="14"/>
  <c r="C12" i="14" s="1"/>
  <c r="I12" i="8"/>
  <c r="AA9" i="9"/>
  <c r="AA52" i="7"/>
  <c r="AD15" i="9"/>
  <c r="AD48" i="9" s="1"/>
  <c r="J12" i="8"/>
  <c r="K36" i="8" s="1"/>
  <c r="AA12" i="7"/>
  <c r="AA32" i="7"/>
  <c r="AA20" i="6"/>
  <c r="D35" i="8"/>
  <c r="D57" i="8" s="1"/>
  <c r="D55" i="8"/>
  <c r="E16" i="6"/>
  <c r="E23" i="3"/>
  <c r="B6" i="14" s="1"/>
  <c r="C6" i="14" s="1"/>
  <c r="E19" i="3"/>
  <c r="F34" i="7" s="1"/>
  <c r="I32" i="7"/>
  <c r="I52" i="7"/>
  <c r="I9" i="9"/>
  <c r="L15" i="9"/>
  <c r="L48" i="9" s="1"/>
  <c r="I20" i="6"/>
  <c r="I12" i="7"/>
  <c r="Q15" i="9"/>
  <c r="Q48" i="9" s="1"/>
  <c r="N9" i="9"/>
  <c r="N52" i="7"/>
  <c r="N32" i="7"/>
  <c r="N20" i="6"/>
  <c r="N12" i="7"/>
  <c r="R12" i="7"/>
  <c r="AE10" i="9"/>
  <c r="AE34" i="7"/>
  <c r="AE14" i="7"/>
  <c r="AE59" i="9" s="1"/>
  <c r="AE60" i="9" s="1"/>
  <c r="AE18" i="6"/>
  <c r="K15" i="8"/>
  <c r="AE53" i="7"/>
  <c r="AE24" i="3"/>
  <c r="E35" i="8"/>
  <c r="E57" i="8" s="1"/>
  <c r="E55" i="8"/>
  <c r="U16" i="6"/>
  <c r="U23" i="3"/>
  <c r="U19" i="3"/>
  <c r="AA15" i="9"/>
  <c r="AA48" i="9" s="1"/>
  <c r="X9" i="9"/>
  <c r="X52" i="7"/>
  <c r="X32" i="7"/>
  <c r="X12" i="7"/>
  <c r="X20" i="6"/>
  <c r="I55" i="8"/>
  <c r="I35" i="8"/>
  <c r="I57" i="8" s="1"/>
  <c r="C40" i="9"/>
  <c r="T16" i="6"/>
  <c r="T19" i="3"/>
  <c r="T23" i="3"/>
  <c r="J40" i="9"/>
  <c r="W15" i="9"/>
  <c r="W48" i="9" s="1"/>
  <c r="T9" i="9"/>
  <c r="T52" i="7"/>
  <c r="T20" i="6"/>
  <c r="T32" i="7"/>
  <c r="T12" i="7"/>
  <c r="K9" i="9"/>
  <c r="E12" i="8"/>
  <c r="K32" i="7"/>
  <c r="K52" i="7"/>
  <c r="K12" i="7"/>
  <c r="K20" i="6"/>
  <c r="N15" i="9"/>
  <c r="N48" i="9" s="1"/>
  <c r="AF53" i="7"/>
  <c r="AF14" i="7"/>
  <c r="AF59" i="9" s="1"/>
  <c r="AF60" i="9" s="1"/>
  <c r="AF10" i="9"/>
  <c r="AF34" i="7"/>
  <c r="AF18" i="6"/>
  <c r="AF24" i="3"/>
  <c r="R10" i="9"/>
  <c r="R53" i="7"/>
  <c r="R18" i="6"/>
  <c r="R24" i="3"/>
  <c r="N16" i="6"/>
  <c r="N23" i="3"/>
  <c r="N19" i="3"/>
  <c r="O34" i="7" s="1"/>
  <c r="V23" i="3"/>
  <c r="V19" i="3"/>
  <c r="Z14" i="7" s="1"/>
  <c r="Z59" i="9" s="1"/>
  <c r="Z60" i="9" s="1"/>
  <c r="V16" i="6"/>
  <c r="V40" i="9"/>
  <c r="I40" i="9"/>
  <c r="F35" i="8"/>
  <c r="F57" i="8" s="1"/>
  <c r="H16" i="6"/>
  <c r="H19" i="3"/>
  <c r="H23" i="3"/>
  <c r="G40" i="9"/>
  <c r="AB15" i="9"/>
  <c r="AB48" i="9" s="1"/>
  <c r="T15" i="9"/>
  <c r="T48" i="9" s="1"/>
  <c r="Q52" i="7"/>
  <c r="Q9" i="9"/>
  <c r="Q32" i="7"/>
  <c r="Q12" i="7"/>
  <c r="Q20" i="6"/>
  <c r="R32" i="7"/>
  <c r="V15" i="9"/>
  <c r="V48" i="9" s="1"/>
  <c r="S9" i="9"/>
  <c r="G12" i="8"/>
  <c r="G36" i="8" s="1"/>
  <c r="S12" i="7"/>
  <c r="S52" i="7"/>
  <c r="S32" i="7"/>
  <c r="S20" i="6"/>
  <c r="U15" i="9"/>
  <c r="U48" i="9" s="1"/>
  <c r="T40" i="9"/>
  <c r="O12" i="7"/>
  <c r="AE12" i="7"/>
  <c r="Y53" i="7"/>
  <c r="C12" i="8"/>
  <c r="R34" i="7" l="1"/>
  <c r="S16" i="9"/>
  <c r="R14" i="7"/>
  <c r="R59" i="9" s="1"/>
  <c r="R60" i="9" s="1"/>
  <c r="C15" i="8"/>
  <c r="C56" i="8" s="1"/>
  <c r="I36" i="8"/>
  <c r="S26" i="9"/>
  <c r="S21" i="9"/>
  <c r="S23" i="9" s="1"/>
  <c r="S25" i="9" s="1"/>
  <c r="AB21" i="9"/>
  <c r="AB23" i="9" s="1"/>
  <c r="AB25" i="9" s="1"/>
  <c r="AB26" i="9"/>
  <c r="W10" i="9"/>
  <c r="Z16" i="9"/>
  <c r="H15" i="8"/>
  <c r="W53" i="7"/>
  <c r="W18" i="6"/>
  <c r="W34" i="7"/>
  <c r="W24" i="3"/>
  <c r="W14" i="7"/>
  <c r="W59" i="9" s="1"/>
  <c r="W60" i="9" s="1"/>
  <c r="F56" i="8"/>
  <c r="Q10" i="9"/>
  <c r="Q34" i="7"/>
  <c r="T16" i="9"/>
  <c r="Q53" i="7"/>
  <c r="Q14" i="7"/>
  <c r="Q59" i="9" s="1"/>
  <c r="Q60" i="9" s="1"/>
  <c r="Q24" i="3"/>
  <c r="Q18" i="6"/>
  <c r="H10" i="9"/>
  <c r="K16" i="9"/>
  <c r="H53" i="7"/>
  <c r="H14" i="7"/>
  <c r="H59" i="9" s="1"/>
  <c r="H60" i="9" s="1"/>
  <c r="H34" i="7"/>
  <c r="H18" i="6"/>
  <c r="H24" i="3"/>
  <c r="F26" i="9"/>
  <c r="F21" i="9"/>
  <c r="F23" i="9" s="1"/>
  <c r="F25" i="9" s="1"/>
  <c r="D36" i="8"/>
  <c r="K10" i="9"/>
  <c r="N16" i="9"/>
  <c r="K18" i="6"/>
  <c r="E15" i="8"/>
  <c r="F39" i="8" s="1"/>
  <c r="F58" i="8" s="1"/>
  <c r="F59" i="8" s="1"/>
  <c r="K14" i="7"/>
  <c r="K59" i="9" s="1"/>
  <c r="K60" i="9" s="1"/>
  <c r="K24" i="3"/>
  <c r="K53" i="7"/>
  <c r="K34" i="7"/>
  <c r="D15" i="8"/>
  <c r="AD16" i="9"/>
  <c r="AA53" i="7"/>
  <c r="AA10" i="9"/>
  <c r="I15" i="8"/>
  <c r="J15" i="8"/>
  <c r="J56" i="8" s="1"/>
  <c r="AA14" i="7"/>
  <c r="AA59" i="9" s="1"/>
  <c r="AA60" i="9" s="1"/>
  <c r="AA18" i="6"/>
  <c r="AA24" i="3"/>
  <c r="AA34" i="7"/>
  <c r="R26" i="9"/>
  <c r="R21" i="9"/>
  <c r="R23" i="9" s="1"/>
  <c r="R25" i="9" s="1"/>
  <c r="L16" i="9"/>
  <c r="I10" i="9"/>
  <c r="I53" i="7"/>
  <c r="I14" i="7"/>
  <c r="I59" i="9" s="1"/>
  <c r="I60" i="9" s="1"/>
  <c r="I34" i="7"/>
  <c r="I18" i="6"/>
  <c r="I24" i="3"/>
  <c r="AC16" i="9"/>
  <c r="X16" i="9"/>
  <c r="U10" i="9"/>
  <c r="U53" i="7"/>
  <c r="U14" i="7"/>
  <c r="U59" i="9" s="1"/>
  <c r="U60" i="9" s="1"/>
  <c r="U34" i="7"/>
  <c r="U18" i="6"/>
  <c r="U24" i="3"/>
  <c r="Y14" i="7"/>
  <c r="Y59" i="9" s="1"/>
  <c r="Y60" i="9" s="1"/>
  <c r="AB34" i="7"/>
  <c r="J16" i="9"/>
  <c r="L10" i="9"/>
  <c r="O16" i="9"/>
  <c r="L34" i="7"/>
  <c r="L18" i="6"/>
  <c r="L53" i="7"/>
  <c r="L14" i="7"/>
  <c r="L59" i="9" s="1"/>
  <c r="L60" i="9" s="1"/>
  <c r="L24" i="3"/>
  <c r="J10" i="9"/>
  <c r="M16" i="9"/>
  <c r="J34" i="7"/>
  <c r="J18" i="6"/>
  <c r="J14" i="7"/>
  <c r="J59" i="9" s="1"/>
  <c r="J60" i="9" s="1"/>
  <c r="J24" i="3"/>
  <c r="J53" i="7"/>
  <c r="I16" i="9"/>
  <c r="V16" i="9"/>
  <c r="G15" i="8"/>
  <c r="S14" i="7"/>
  <c r="S59" i="9" s="1"/>
  <c r="S60" i="9" s="1"/>
  <c r="S53" i="7"/>
  <c r="S10" i="9"/>
  <c r="S34" i="7"/>
  <c r="S24" i="3"/>
  <c r="S18" i="6"/>
  <c r="U16" i="9"/>
  <c r="K56" i="8"/>
  <c r="E36" i="8"/>
  <c r="D10" i="9"/>
  <c r="G16" i="9"/>
  <c r="D24" i="3"/>
  <c r="D34" i="7"/>
  <c r="D18" i="6"/>
  <c r="H36" i="8"/>
  <c r="AE26" i="9"/>
  <c r="AE21" i="9"/>
  <c r="AE23" i="9" s="1"/>
  <c r="AE25" i="9" s="1"/>
  <c r="E10" i="9"/>
  <c r="H16" i="9"/>
  <c r="E24" i="3"/>
  <c r="E34" i="7"/>
  <c r="E18" i="6"/>
  <c r="P16" i="9"/>
  <c r="M10" i="9"/>
  <c r="M34" i="7"/>
  <c r="M53" i="7"/>
  <c r="M18" i="6"/>
  <c r="M14" i="7"/>
  <c r="M59" i="9" s="1"/>
  <c r="M60" i="9" s="1"/>
  <c r="M24" i="3"/>
  <c r="X10" i="9"/>
  <c r="X34" i="7"/>
  <c r="AA16" i="9"/>
  <c r="X53" i="7"/>
  <c r="X18" i="6"/>
  <c r="X14" i="7"/>
  <c r="X59" i="9" s="1"/>
  <c r="X60" i="9" s="1"/>
  <c r="X24" i="3"/>
  <c r="Y34" i="7"/>
  <c r="V10" i="9"/>
  <c r="Y16" i="9"/>
  <c r="V53" i="7"/>
  <c r="V34" i="7"/>
  <c r="V18" i="6"/>
  <c r="V14" i="7"/>
  <c r="V59" i="9" s="1"/>
  <c r="V60" i="9" s="1"/>
  <c r="V24" i="3"/>
  <c r="T10" i="9"/>
  <c r="T53" i="7"/>
  <c r="W16" i="9"/>
  <c r="T14" i="7"/>
  <c r="T59" i="9" s="1"/>
  <c r="T60" i="9" s="1"/>
  <c r="T34" i="7"/>
  <c r="T18" i="6"/>
  <c r="T24" i="3"/>
  <c r="Q16" i="9"/>
  <c r="N53" i="7"/>
  <c r="N14" i="7"/>
  <c r="N59" i="9" s="1"/>
  <c r="N60" i="9" s="1"/>
  <c r="N18" i="6"/>
  <c r="N10" i="9"/>
  <c r="N34" i="7"/>
  <c r="N24" i="3"/>
  <c r="AC10" i="9"/>
  <c r="AF16" i="9"/>
  <c r="AC34" i="7"/>
  <c r="AC18" i="6"/>
  <c r="AC24" i="3"/>
  <c r="AC14" i="7"/>
  <c r="AC59" i="9" s="1"/>
  <c r="AC60" i="9" s="1"/>
  <c r="AC53" i="7"/>
  <c r="F36" i="8"/>
  <c r="B7" i="14" l="1"/>
  <c r="C7" i="14" s="1"/>
  <c r="L21" i="9"/>
  <c r="L23" i="9" s="1"/>
  <c r="L25" i="9" s="1"/>
  <c r="L26" i="9"/>
  <c r="X26" i="9"/>
  <c r="X21" i="9"/>
  <c r="X23" i="9" s="1"/>
  <c r="X25" i="9" s="1"/>
  <c r="AA21" i="9"/>
  <c r="AA23" i="9" s="1"/>
  <c r="AA25" i="9" s="1"/>
  <c r="AA26" i="9"/>
  <c r="O21" i="9"/>
  <c r="O23" i="9" s="1"/>
  <c r="O25" i="9" s="1"/>
  <c r="O26" i="9"/>
  <c r="M21" i="9"/>
  <c r="M23" i="9" s="1"/>
  <c r="M25" i="9" s="1"/>
  <c r="M26" i="9"/>
  <c r="N26" i="9"/>
  <c r="N21" i="9"/>
  <c r="N23" i="9" s="1"/>
  <c r="N25" i="9" s="1"/>
  <c r="G26" i="9"/>
  <c r="G21" i="9"/>
  <c r="G23" i="9" s="1"/>
  <c r="G25" i="9" s="1"/>
  <c r="H39" i="8"/>
  <c r="H58" i="8" s="1"/>
  <c r="H59" i="8" s="1"/>
  <c r="H56" i="8"/>
  <c r="I26" i="9"/>
  <c r="I21" i="9"/>
  <c r="I23" i="9" s="1"/>
  <c r="I25" i="9" s="1"/>
  <c r="H21" i="9"/>
  <c r="H23" i="9" s="1"/>
  <c r="H25" i="9" s="1"/>
  <c r="H26" i="9"/>
  <c r="K39" i="8"/>
  <c r="K58" i="8" s="1"/>
  <c r="K59" i="8" s="1"/>
  <c r="Y21" i="9"/>
  <c r="Y23" i="9" s="1"/>
  <c r="Y25" i="9" s="1"/>
  <c r="Y26" i="9"/>
  <c r="K21" i="9"/>
  <c r="K23" i="9" s="1"/>
  <c r="K25" i="9" s="1"/>
  <c r="K26" i="9"/>
  <c r="P21" i="9"/>
  <c r="P23" i="9" s="1"/>
  <c r="P25" i="9" s="1"/>
  <c r="P26" i="9"/>
  <c r="D56" i="8"/>
  <c r="D39" i="8"/>
  <c r="D58" i="8" s="1"/>
  <c r="D59" i="8" s="1"/>
  <c r="Z26" i="9"/>
  <c r="Z21" i="9"/>
  <c r="Z23" i="9" s="1"/>
  <c r="Z25" i="9" s="1"/>
  <c r="U26" i="9"/>
  <c r="U21" i="9"/>
  <c r="U23" i="9" s="1"/>
  <c r="U25" i="9" s="1"/>
  <c r="J21" i="9"/>
  <c r="J23" i="9" s="1"/>
  <c r="J25" i="9" s="1"/>
  <c r="J26" i="9"/>
  <c r="AC21" i="9"/>
  <c r="AC23" i="9" s="1"/>
  <c r="AC25" i="9" s="1"/>
  <c r="AC26" i="9"/>
  <c r="I39" i="8"/>
  <c r="I58" i="8" s="1"/>
  <c r="I59" i="8" s="1"/>
  <c r="I56" i="8"/>
  <c r="AF21" i="9"/>
  <c r="AF23" i="9" s="1"/>
  <c r="AF25" i="9" s="1"/>
  <c r="AF26" i="9"/>
  <c r="E56" i="8"/>
  <c r="E39" i="8"/>
  <c r="E58" i="8" s="1"/>
  <c r="E59" i="8" s="1"/>
  <c r="W26" i="9"/>
  <c r="W21" i="9"/>
  <c r="W23" i="9" s="1"/>
  <c r="W25" i="9" s="1"/>
  <c r="G56" i="8"/>
  <c r="G39" i="8"/>
  <c r="G58" i="8" s="1"/>
  <c r="G59" i="8" s="1"/>
  <c r="AD21" i="9"/>
  <c r="AD23" i="9" s="1"/>
  <c r="AD25" i="9" s="1"/>
  <c r="AD26" i="9"/>
  <c r="V26" i="9"/>
  <c r="V21" i="9"/>
  <c r="V23" i="9" s="1"/>
  <c r="V25" i="9" s="1"/>
  <c r="T21" i="9"/>
  <c r="T23" i="9" s="1"/>
  <c r="T25" i="9" s="1"/>
  <c r="T26" i="9"/>
  <c r="Q21" i="9"/>
  <c r="Q23" i="9" s="1"/>
  <c r="Q25" i="9" s="1"/>
  <c r="Q26" i="9"/>
</calcChain>
</file>

<file path=xl/sharedStrings.xml><?xml version="1.0" encoding="utf-8"?>
<sst xmlns="http://schemas.openxmlformats.org/spreadsheetml/2006/main" count="1377" uniqueCount="655">
  <si>
    <t>Análise das Demonstrações Financeiras — Netflix, Inc. (NFLX) · ECO057</t>
  </si>
  <si>
    <t>Período: 2019T1 a 2026T2 (30 trimestres) · Valores em US$ milhões, salvo indicação.</t>
  </si>
  <si>
    <t>Como ler esta planilha</t>
  </si>
  <si>
    <t>• Números em AZUL são dados oficiais (insumos). Números em PRETO são fórmulas — clique na célula para ver o cálculo.</t>
  </si>
  <si>
    <t>• Linhas verdes são conferências: devem dar zero. O resumo está na aba Validacao.</t>
  </si>
  <si>
    <t>• "n.d." = não disponível (ex.: indicador LTM precisa de 4 trimestres; AH homóloga precisa do mesmo trimestre do ano anterior).</t>
  </si>
  <si>
    <t>Abas (ordem sugerida para a apresentação)</t>
  </si>
  <si>
    <t>1. Macro e Setor — contexto: juros, inflação, câmbio e a situação dos concorrentes de streaming.</t>
  </si>
  <si>
    <t>2. DRE, BP, DFC — demonstrações montadas a partir dos 10-Q/10-K, com conferência contra os totais informados à SEC.</t>
  </si>
  <si>
    <t>3. AV — análise vertical (base: receita na DRE e ativo total no BP).</t>
  </si>
  <si>
    <t>4. AH e AH_Anual — análise horizontal sequencial (t vs t−1), homóloga (t vs t−4), base fixa e anual.</t>
  </si>
  <si>
    <t>5. Indicadores — margens, DuPont (ROA/ROE), liquidez, Fleuriet (CCL/NCG/ST), endividamento, GAO/GAF/GAT.</t>
  </si>
  <si>
    <t>6. Regioes — receita, assinantes e ARM por região.</t>
  </si>
  <si>
    <t>7. Variacoes_Bruscas — as "perguntas ruins", com resposta e trecho do documento oficial.</t>
  </si>
  <si>
    <t>8. Graficos — gráficos nativos (eixos com título e unidade).</t>
  </si>
  <si>
    <t>9. Validacao e Fontes — conferências e lista dos documentos usados (com links).</t>
  </si>
  <si>
    <t>Metodologia (igual à planilha da disciplina, "Planilhas ECO057.xlsx")</t>
  </si>
  <si>
    <t>• AV = conta / base.  AH = (Atual − Anterior) / ABS(Anterior) — o ABS evita inverter o sinal quando a base é negativa.</t>
  </si>
  <si>
    <t>• DuPont: ROA = Margem líquida × Giro do ativo; ROE = ROA × MAF (Ativo/PL). Usa-se lucro e receita dos últimos 12 meses (LTM).</t>
  </si>
  <si>
    <t>• Fleuriet: CCL = AC − PC; NCG = ACO − PCO; ST = CCL − NCG. Caixa e aplicações = ativo financeiro; dívida CP = passivo financeiro.</t>
  </si>
  <si>
    <t>• Alavancagem (fórmula 1): GAO = Δ%EBIT/Δ%Receita; GAF = Δ%LL/Δ%EBIT; GAT = GAO × GAF.</t>
  </si>
  <si>
    <t>Tratamento dos dados (correções em relação à versão anterior do projeto)</t>
  </si>
  <si>
    <t>• Nenhum valor é estimado ou copiado do trimestre vizinho; lacunas ficam vazias. Antes havia preenchimento automático e "custo = 52% da receita" como reserva.</t>
  </si>
  <si>
    <t>• 4º trimestre = ano do 10-K − 9 meses do 10-Q; Q2/Q3 do fluxo de caixa = acumulado − acumulado anterior.</t>
  </si>
  <si>
    <t>• Imposto com sinal original; aplicações financeiras separadas do capital de giro operacional; contas de conteúdo incluídas.</t>
  </si>
  <si>
    <t>• ROE e Dívida/EBITDA usam 12 meses reais (LTM), em vez de multiplicar o trimestre por 4.</t>
  </si>
  <si>
    <t>• O lucro de 2026T1 é explicado pela multa rescisória da WBD (US$ 2,8 bi) — e não por "créditos fiscais", como constava antes.</t>
  </si>
  <si>
    <t>Gráficos da análise (atualizam com as fórmulas)</t>
  </si>
  <si>
    <t>Eixo X: trimestres · Um único eixo Y por gráfico, com unidade no título do eixo.</t>
  </si>
  <si>
    <t>Netflix, Inc. — Demonstração do Resultado (trimestral)</t>
  </si>
  <si>
    <t>US$ milhões · Fonte: SEC EDGAR, 10-Q e 10-K (XBRL). 4º tri = ano (10-K) − 9 meses (10-Q).</t>
  </si>
  <si>
    <t>Conta / indicador</t>
  </si>
  <si>
    <t>Fonte ou fórmula</t>
  </si>
  <si>
    <t>2019T1</t>
  </si>
  <si>
    <t>2019T2</t>
  </si>
  <si>
    <t>2019T3</t>
  </si>
  <si>
    <t>2019T4</t>
  </si>
  <si>
    <t>2020T1</t>
  </si>
  <si>
    <t>2020T2</t>
  </si>
  <si>
    <t>2020T3</t>
  </si>
  <si>
    <t>2020T4</t>
  </si>
  <si>
    <t>2021T1</t>
  </si>
  <si>
    <t>2021T2</t>
  </si>
  <si>
    <t>2021T3</t>
  </si>
  <si>
    <t>2021T4</t>
  </si>
  <si>
    <t>2022T1</t>
  </si>
  <si>
    <t>2022T2</t>
  </si>
  <si>
    <t>2022T3</t>
  </si>
  <si>
    <t>2022T4</t>
  </si>
  <si>
    <t>2023T1</t>
  </si>
  <si>
    <t>2023T2</t>
  </si>
  <si>
    <t>2023T3</t>
  </si>
  <si>
    <t>2023T4</t>
  </si>
  <si>
    <t>2024T1</t>
  </si>
  <si>
    <t>2024T2</t>
  </si>
  <si>
    <t>2024T3</t>
  </si>
  <si>
    <t>2024T4</t>
  </si>
  <si>
    <t>2025T1</t>
  </si>
  <si>
    <t>2025T2</t>
  </si>
  <si>
    <t>2025T3</t>
  </si>
  <si>
    <t>2025T4</t>
  </si>
  <si>
    <t>2026T1</t>
  </si>
  <si>
    <t>2026T2</t>
  </si>
  <si>
    <t>Demonstração do resultado</t>
  </si>
  <si>
    <t>(=) Receita líquida</t>
  </si>
  <si>
    <t>us-gaap:Revenues</t>
  </si>
  <si>
    <t>(−) Custo dos serviços (inclui amortização de conteúdo)</t>
  </si>
  <si>
    <t>us-gaap:CostOfRevenue</t>
  </si>
  <si>
    <t>(=) Lucro bruto</t>
  </si>
  <si>
    <t>Receita − Custo</t>
  </si>
  <si>
    <t>(−) Marketing</t>
  </si>
  <si>
    <t>SellingAndMarketing / Marketing</t>
  </si>
  <si>
    <t>(−) Tecnologia e desenvolvimento</t>
  </si>
  <si>
    <t>T&amp;D / ResearchAndDevelopment</t>
  </si>
  <si>
    <t>(−) Gerais e administrativas</t>
  </si>
  <si>
    <t>GeneralAndAdministrative</t>
  </si>
  <si>
    <t>(=) Despesas operacionais</t>
  </si>
  <si>
    <t>Soma</t>
  </si>
  <si>
    <t>(=) Lucro operacional (EBIT / LAJIR)</t>
  </si>
  <si>
    <t>Lucro bruto − Desp. operacionais</t>
  </si>
  <si>
    <t>(−) Despesa de juros</t>
  </si>
  <si>
    <t>InterestExpense(Nonoperating)</t>
  </si>
  <si>
    <t>(+/−) Juros e outras receitas/despesas (inclui câmbio)</t>
  </si>
  <si>
    <t>NonoperatingIncomeExpense</t>
  </si>
  <si>
    <t>(=) Lucro antes do IR (LAIR)</t>
  </si>
  <si>
    <t>EBIT − Juros + Outras</t>
  </si>
  <si>
    <t>(−) Imposto de renda (sinal original; benefício = negativo)</t>
  </si>
  <si>
    <t>IncomeTaxExpenseBenefit</t>
  </si>
  <si>
    <t>(=) Lucro líquido</t>
  </si>
  <si>
    <t>LAIR − IR</t>
  </si>
  <si>
    <t>Conferência com os valores informados à SEC (deve dar zero)</t>
  </si>
  <si>
    <t>EBIT calculado − EBIT informado</t>
  </si>
  <si>
    <t>OperatingIncomeLoss</t>
  </si>
  <si>
    <t>LAIR calculado − LAIR informado</t>
  </si>
  <si>
    <t>IncomeBeforeIncomeTaxes</t>
  </si>
  <si>
    <t>Lucro líquido calculado − informado</t>
  </si>
  <si>
    <t>NetIncomeLoss</t>
  </si>
  <si>
    <t>Itens de memória</t>
  </si>
  <si>
    <t>Ganho (perda) cambial — incluso em "outras"</t>
  </si>
  <si>
    <t>ForeignCurrencyTransactionGainLoss</t>
  </si>
  <si>
    <t>Amortização de conteúdo — inclusa no custo</t>
  </si>
  <si>
    <t>nflx:CostofServicesAmortization...</t>
  </si>
  <si>
    <t>Depreciação e amortização (imobilizado e intangíveis)</t>
  </si>
  <si>
    <t>DepreciationDepletionAndAmortization</t>
  </si>
  <si>
    <t>(=) EBITDA (EBIT + D&amp;A; conteúdo NÃO é somado de volta)</t>
  </si>
  <si>
    <t>EBIT + D&amp;A</t>
  </si>
  <si>
    <t>Na Netflix a amortização de conteúdo é custo operacional recorrente (substitui o "estoque" de filmes e séries); por isso não é adicionada ao EBITDA.</t>
  </si>
  <si>
    <t>Netflix, Inc. — Balanço Patrimonial (fim de cada trimestre)</t>
  </si>
  <si>
    <t>US$ milhões · Fonte: SEC EDGAR, 10-Q e 10-K (XBRL).</t>
  </si>
  <si>
    <t>Ativo</t>
  </si>
  <si>
    <t>Caixa e equivalentes</t>
  </si>
  <si>
    <t>CashAndCashEquivalents</t>
  </si>
  <si>
    <t>Aplicações financeiras de curto prazo</t>
  </si>
  <si>
    <t>ShortTermInvestments</t>
  </si>
  <si>
    <t>Outros ativos circulantes (recebíveis, adiantamentos)</t>
  </si>
  <si>
    <t>OtherAssetsCurrent</t>
  </si>
  <si>
    <t>ATIVO CIRCULANTE</t>
  </si>
  <si>
    <t>Ativos de conteúdo (líquidos)</t>
  </si>
  <si>
    <t>nflx:ContentAssetsNet</t>
  </si>
  <si>
    <t>Imobilizado líquido</t>
  </si>
  <si>
    <t>PropertyPlantAndEquipmentNet</t>
  </si>
  <si>
    <t>Outros ativos não circulantes</t>
  </si>
  <si>
    <t>Ativo total − demais</t>
  </si>
  <si>
    <t>ATIVO NÃO CIRCULANTE</t>
  </si>
  <si>
    <t>ATIVO TOTAL</t>
  </si>
  <si>
    <t>us-gaap:Assets</t>
  </si>
  <si>
    <t>Passivo e patrimônio líquido</t>
  </si>
  <si>
    <t>Passivos de conteúdo (curto prazo)</t>
  </si>
  <si>
    <t>nflx:ContentLiabilitiesCurrent</t>
  </si>
  <si>
    <t>Fornecedores</t>
  </si>
  <si>
    <t>AccountsPayableCurrent</t>
  </si>
  <si>
    <t>Despesas a pagar e provisões</t>
  </si>
  <si>
    <t>AccruedLiabilitiesCurrent</t>
  </si>
  <si>
    <t>Receita diferida (assinaturas pagas antecipadamente)</t>
  </si>
  <si>
    <t>ContractWithCustomerLiability</t>
  </si>
  <si>
    <t>Dívida de curto prazo</t>
  </si>
  <si>
    <t>ShortTermBorrowings</t>
  </si>
  <si>
    <t>Arredondamento entre balanço e notas (resíduo, &lt; US$ 1 mi)</t>
  </si>
  <si>
    <t>PC informado − soma das linhas</t>
  </si>
  <si>
    <t>PASSIVO CIRCULANTE</t>
  </si>
  <si>
    <t>LiabilitiesCurrent</t>
  </si>
  <si>
    <t>Passivos de conteúdo (longo prazo)</t>
  </si>
  <si>
    <t>nflx:ContentLiabilitiesNoncurrent</t>
  </si>
  <si>
    <t>Dívida de longo prazo</t>
  </si>
  <si>
    <t>LongTermDebtNoncurrent</t>
  </si>
  <si>
    <t>Outros passivos de longo prazo</t>
  </si>
  <si>
    <t>OtherLiabilitiesNoncurrent</t>
  </si>
  <si>
    <t>PNC − soma das linhas</t>
  </si>
  <si>
    <t>PASSIVO NÃO CIRCULANTE</t>
  </si>
  <si>
    <t>Passivo total − PC</t>
  </si>
  <si>
    <t>PASSIVO TOTAL (exigível)</t>
  </si>
  <si>
    <t>us-gaap:Liabilities</t>
  </si>
  <si>
    <t>PATRIMÔNIO LÍQUIDO</t>
  </si>
  <si>
    <t>StockholdersEquity</t>
  </si>
  <si>
    <t>PASSIVO TOTAL + PL</t>
  </si>
  <si>
    <t>Conferências (devem dar zero)</t>
  </si>
  <si>
    <t>Ativo total − (Passivo + PL)</t>
  </si>
  <si>
    <t>Identidade contábil</t>
  </si>
  <si>
    <t>AC calculado − AC informado</t>
  </si>
  <si>
    <t>AssetsCurrent</t>
  </si>
  <si>
    <t>Resíduo de arredondamento do PC (tolerância US$ 1 mi)</t>
  </si>
  <si>
    <t>Ver linha do resíduo</t>
  </si>
  <si>
    <t>Resíduo de arredondamento do PNC (tolerância US$ 1 mi)</t>
  </si>
  <si>
    <t>Netflix, Inc. — Fluxo de Caixa (trimestral)</t>
  </si>
  <si>
    <t>US$ milhões · Fonte: SEC EDGAR. 10-Q traz o acumulado do ano; trimestre = acumulado − acumulado anterior.</t>
  </si>
  <si>
    <t>Fluxos de caixa</t>
  </si>
  <si>
    <t>Fluxo de caixa operacional (FCO)</t>
  </si>
  <si>
    <t>NetCashProvidedByOperating</t>
  </si>
  <si>
    <t>(−) Compras de imobilizado (Capex)</t>
  </si>
  <si>
    <t>PaymentsToAcquirePP&amp;E</t>
  </si>
  <si>
    <t>(=) Fluxo de caixa livre simplificado (FCO − Capex)</t>
  </si>
  <si>
    <t>FCO − Capex</t>
  </si>
  <si>
    <t>Fluxo de caixa de investimento</t>
  </si>
  <si>
    <t>NetCashInvesting</t>
  </si>
  <si>
    <t>Fluxo de caixa de financiamento</t>
  </si>
  <si>
    <t>NetCashFinancing</t>
  </si>
  <si>
    <t>Recompra de ações (saída de caixa)</t>
  </si>
  <si>
    <t>PaymentsForRepurchaseOfCommonStock</t>
  </si>
  <si>
    <t>Conteúdo: competência x caixa (a chave para entender o caixa da Netflix)</t>
  </si>
  <si>
    <t>Pagamentos de conteúdo (caixa)</t>
  </si>
  <si>
    <t>nflx:AdditionsToStreamingContentAssets</t>
  </si>
  <si>
    <t>Amortização de conteúdo (DRE)</t>
  </si>
  <si>
    <t>Igual à DRE</t>
  </si>
  <si>
    <t>Razão pagamento / amortização</t>
  </si>
  <si>
    <t>&gt; 1 = investe mais do que amortiza</t>
  </si>
  <si>
    <t>Remuneração em ações (não-caixa)</t>
  </si>
  <si>
    <t>ShareBasedCompensation</t>
  </si>
  <si>
    <t>A Netflix define FCL como FCO − Capex − variação de outros ativos; a versão simplificada daqui difere em poucos milhões.</t>
  </si>
  <si>
    <t>Análise Vertical (AV)</t>
  </si>
  <si>
    <t>DRE: % da Receita líquida · BP: % do Ativo total — fórmula da disciplina: conta / base</t>
  </si>
  <si>
    <t>DRE — % da receita líquida</t>
  </si>
  <si>
    <t>Receita líquida</t>
  </si>
  <si>
    <t>Custo dos serviços</t>
  </si>
  <si>
    <t>Lucro bruto</t>
  </si>
  <si>
    <t>Marketing</t>
  </si>
  <si>
    <t>Tecnologia</t>
  </si>
  <si>
    <t>Gerais e administrativas</t>
  </si>
  <si>
    <t>EBIT</t>
  </si>
  <si>
    <t>Despesa de juros</t>
  </si>
  <si>
    <t>Outras receitas/despesas financeiras</t>
  </si>
  <si>
    <t>LAIR</t>
  </si>
  <si>
    <t>Imposto de renda</t>
  </si>
  <si>
    <t>Lucro líquido</t>
  </si>
  <si>
    <t>Amortização de conteúdo</t>
  </si>
  <si>
    <t>EBITDA</t>
  </si>
  <si>
    <t>Balanço — % do ativo total</t>
  </si>
  <si>
    <t>Caixa</t>
  </si>
  <si>
    <t>Aplicações CP</t>
  </si>
  <si>
    <t>Outros AC</t>
  </si>
  <si>
    <t>Ativo circulante</t>
  </si>
  <si>
    <t>Ativos de conteúdo</t>
  </si>
  <si>
    <t>Imobilizado</t>
  </si>
  <si>
    <t>Outros ANC</t>
  </si>
  <si>
    <t>Ativo total</t>
  </si>
  <si>
    <t>Passivo de conteúdo CP</t>
  </si>
  <si>
    <t>Provisões</t>
  </si>
  <si>
    <t>Receita diferida</t>
  </si>
  <si>
    <t>Dívida CP</t>
  </si>
  <si>
    <t>Passivo circulante</t>
  </si>
  <si>
    <t>Passivo de conteúdo LP</t>
  </si>
  <si>
    <t>Dívida LP</t>
  </si>
  <si>
    <t>Outros PLP</t>
  </si>
  <si>
    <t>Passivo não circulante</t>
  </si>
  <si>
    <t>Patrimônio líquido</t>
  </si>
  <si>
    <t>Passivo + PL</t>
  </si>
  <si>
    <t>Análise Horizontal (AH) — trimestral</t>
  </si>
  <si>
    <t>Fórmula da disciplina: (Atual − Anterior) / ABS(Anterior). Cores: azul = alta, vermelho = queda; borda laranja = variação brusca (|AH| ≥ 50%).</t>
  </si>
  <si>
    <t>AH homóloga — trimestre contra o mesmo trimestre do ano anterior (t vs t−4): elimina a sazonalidade</t>
  </si>
  <si>
    <t>DRE</t>
  </si>
  <si>
    <t>n.d.</t>
  </si>
  <si>
    <t>Despesas operacionais</t>
  </si>
  <si>
    <t>Fluxo de caixa operacional</t>
  </si>
  <si>
    <t>DFC</t>
  </si>
  <si>
    <t>Fluxo de caixa livre</t>
  </si>
  <si>
    <t>Pagamentos de conteúdo</t>
  </si>
  <si>
    <t>BP</t>
  </si>
  <si>
    <t>AH sequencial — trimestre contra o trimestre imediatamente anterior (t vs t−1)</t>
  </si>
  <si>
    <t>AH com base fixa — índice 2019T4 = 100 (evolução acumulada)</t>
  </si>
  <si>
    <t>Análise Horizontal — anual (e 1º semestre)</t>
  </si>
  <si>
    <t>Fluxos: soma dos 4 trimestres (1S = T1+T2) · Saldos: posição no fim do período · AH = (Atual − Anterior)/ABS(Anterior)</t>
  </si>
  <si>
    <t>2019</t>
  </si>
  <si>
    <t>2020</t>
  </si>
  <si>
    <t>2021</t>
  </si>
  <si>
    <t>2022</t>
  </si>
  <si>
    <t>2023</t>
  </si>
  <si>
    <t>2024</t>
  </si>
  <si>
    <t>2025</t>
  </si>
  <si>
    <t>1S2025</t>
  </si>
  <si>
    <t>1S2026</t>
  </si>
  <si>
    <t>Valores (US$ milhões)</t>
  </si>
  <si>
    <t>Σ DRE</t>
  </si>
  <si>
    <t>FCO</t>
  </si>
  <si>
    <t>Σ DFC</t>
  </si>
  <si>
    <t>FCL (FCO − Capex)</t>
  </si>
  <si>
    <t>Recompra de ações</t>
  </si>
  <si>
    <t>Caixa (fim do período)</t>
  </si>
  <si>
    <t>BP fim do período</t>
  </si>
  <si>
    <t>Passivo total</t>
  </si>
  <si>
    <t>AH ano contra ano (1S contra 1S)</t>
  </si>
  <si>
    <t>Margens e alavancagens anuais (fórmula 1 da disciplina: elasticidades)</t>
  </si>
  <si>
    <t>Margem EBIT</t>
  </si>
  <si>
    <t>Margem líquida</t>
  </si>
  <si>
    <t>GAO = Δ%EBIT / Δ%Receita</t>
  </si>
  <si>
    <t>GAF = Δ%Lucro líquido / Δ%EBIT</t>
  </si>
  <si>
    <t>GAT = GAO × GAF</t>
  </si>
  <si>
    <t>A disciplina usa Δ%LPA no GAF; aqui usa-se Δ%Lucro líquido porque o desdobramento de ações 10:1 (nov/2025) distorce o LPA histórico.</t>
  </si>
  <si>
    <t>Em 2026 o lucro líquido inclui a multa rescisória da WBD (US$ 2,8 bi), o que infla o GAF do 1S2026 — ler junto com a aba Variacoes_Bruscas.</t>
  </si>
  <si>
    <t>Índices econômico-financeiros (trimestrais)</t>
  </si>
  <si>
    <t>Valores "LTM" = últimos 12 meses (soma de 4 trimestres): evita multiplicar o trimestre por 4 e ignorar a sazonalidade.</t>
  </si>
  <si>
    <t>Rentabilidade do trimestre</t>
  </si>
  <si>
    <t>Margem bruta</t>
  </si>
  <si>
    <t>Margem EBIT (operacional)</t>
  </si>
  <si>
    <t>Margem EBITDA</t>
  </si>
  <si>
    <t>Últimos 12 meses (LTM) — US$ milhões</t>
  </si>
  <si>
    <t>Receita LTM</t>
  </si>
  <si>
    <t>EBIT LTM</t>
  </si>
  <si>
    <t>EBITDA LTM</t>
  </si>
  <si>
    <t>Lucro líquido LTM</t>
  </si>
  <si>
    <t>Despesa de juros LTM</t>
  </si>
  <si>
    <t>Custo dos serviços LTM</t>
  </si>
  <si>
    <t>DuPont (modelo da disciplina): ROA = Margem líquida × Giro; ROE = ROA × MAF</t>
  </si>
  <si>
    <t>Margem líquida LTM (LL/Receitas)</t>
  </si>
  <si>
    <t>Giro do ativo (Receitas LTM / Ativo total)</t>
  </si>
  <si>
    <t>ROA = Margem líquida × Giro</t>
  </si>
  <si>
    <t>MAF — multiplicador de alavancagem (AT / PL)</t>
  </si>
  <si>
    <t>ROE = ROA × MAF</t>
  </si>
  <si>
    <t>Conferência: LL LTM / PL</t>
  </si>
  <si>
    <t>Liquidez</t>
  </si>
  <si>
    <t>Liquidez corrente (AC / PC)</t>
  </si>
  <si>
    <t>Liquidez seca ((AC − Estoques) / PC) — sem estoques, = LC</t>
  </si>
  <si>
    <t>Liquidez imediata ((Caixa + Aplicações) / PC)</t>
  </si>
  <si>
    <t>Modelo Fleuriet (capital de giro) — US$ milhões</t>
  </si>
  <si>
    <t>CCL / CDG = AC − PC</t>
  </si>
  <si>
    <t>ACO — ativo circulante operacional (outros AC)</t>
  </si>
  <si>
    <t>PCO — passivo circulante operacional (PC − dívida CP)</t>
  </si>
  <si>
    <t>NCG = ACO − PCO</t>
  </si>
  <si>
    <t>Saldo de tesouraria ST = CCL − NCG</t>
  </si>
  <si>
    <t>Conferência: ST = (Caixa + Aplicações) − Dívida CP</t>
  </si>
  <si>
    <t>Tipo de estrutura (Fleuriet/Braga: sinais de CCL, NCG e ST)</t>
  </si>
  <si>
    <t>Tipo VI (CCL &lt; 0, NCG &lt; 0, ST &gt; 0): o caixa existe, mas é sustentado por passivos operacionais de curto prazo (conteúdo a pagar, receita antecipada) — depende de a empresa continuar crescendo e recebendo antes de pagar.</t>
  </si>
  <si>
    <t>Estrutura de capital e endividamento</t>
  </si>
  <si>
    <t>CT/PL — capital de terceiros / PL</t>
  </si>
  <si>
    <t>Dívida bruta (CP + LP) — US$ mi</t>
  </si>
  <si>
    <t>Dívida líquida (bruta − caixa − aplicações) — US$ mi</t>
  </si>
  <si>
    <t>Dívida líquida / EBITDA LTM</t>
  </si>
  <si>
    <t>Cobertura de juros (EBIT LTM / Juros LTM)</t>
  </si>
  <si>
    <t>PMPC — prazo médio de pagamento (Fornecedores / Custo LTM × 365), dias</t>
  </si>
  <si>
    <t>Conteúdo</t>
  </si>
  <si>
    <t>Ativos de conteúdo / Ativo total</t>
  </si>
  <si>
    <t>Amortização de conteúdo / Receita</t>
  </si>
  <si>
    <t>Pagamentos / amortização de conteúdo</t>
  </si>
  <si>
    <t>Graus de alavancagem — fórmula 1 da disciplina, base homóloga (t vs t−4)</t>
  </si>
  <si>
    <t>Elasticidades explodem quando a variação do denominador é próxima de zero (ex.: EBIT 2022T1 +1%): ler sempre junto com a AH. Base homóloga evita a sazonalidade do T4; a versão anual está na aba AH_Anual.</t>
  </si>
  <si>
    <t>Receita e assinantes por região</t>
  </si>
  <si>
    <t>Receita em US$ milhões; assinantes pagos em milhões (divulgação encerrada após 2024T4). Fonte: notas dos 10-Q/10-K (XBRL).</t>
  </si>
  <si>
    <t>Receita por região (US$ milhões)</t>
  </si>
  <si>
    <t>EUA e Canadá</t>
  </si>
  <si>
    <t>Revenues × região</t>
  </si>
  <si>
    <t>Europa, Oriente Médio e África</t>
  </si>
  <si>
    <t>América Latina</t>
  </si>
  <si>
    <t>Ásia-Pacífico</t>
  </si>
  <si>
    <t>DVD (encerrado em set/2023)</t>
  </si>
  <si>
    <t>Total − streaming</t>
  </si>
  <si>
    <t>Participação na receita (AV)</t>
  </si>
  <si>
    <t>AH homóloga da receita por região (t vs t−4)</t>
  </si>
  <si>
    <t>Assinantes pagos (milhões, fim do trimestre)</t>
  </si>
  <si>
    <t>NumberOfPaidMemberships</t>
  </si>
  <si>
    <t>Total</t>
  </si>
  <si>
    <t>Adições líquidas no trimestre</t>
  </si>
  <si>
    <t>ARM — receita média mensal por assinante (US$/mês) = receita / média de assinantes / 3</t>
  </si>
  <si>
    <t>A Netflix deixou de divulgar assinantes a partir de 2025 (anúncio na carta do 1º tri/2024); carta do 4º tri/2025 cita "325 milhões".</t>
  </si>
  <si>
    <t>Contexto macroeconômico (médias trimestrais)</t>
  </si>
  <si>
    <t>Fontes oficiais: Federal Reserve (H.15), U.S. Treasury, BLS (CPI-U e desemprego), Banco Central Europeu (câmbio).</t>
  </si>
  <si>
    <t>Estados Unidos</t>
  </si>
  <si>
    <t>Juro básico — Fed Funds efetivo (% a.a.)</t>
  </si>
  <si>
    <t>Fed H.15</t>
  </si>
  <si>
    <t>Título do Tesouro de 10 anos (% a.a.)</t>
  </si>
  <si>
    <t>U.S. Treasury</t>
  </si>
  <si>
    <t>Inflação ao consumidor CPI-U (% em 12 meses)</t>
  </si>
  <si>
    <t>BLS CUUR0000SA0</t>
  </si>
  <si>
    <t>Taxa de desemprego (%)</t>
  </si>
  <si>
    <t>BLS LNS14000000</t>
  </si>
  <si>
    <t>Câmbio — unidades de moeda local por 1 US$ (alta = dólar mais forte = receita em US$ menor)</t>
  </si>
  <si>
    <t>Euro</t>
  </si>
  <si>
    <t>BCE (via EUR)</t>
  </si>
  <si>
    <t>Real brasileiro</t>
  </si>
  <si>
    <t>Peso mexicano</t>
  </si>
  <si>
    <t>Libra esterlina</t>
  </si>
  <si>
    <t>Iene</t>
  </si>
  <si>
    <t>Índice do dólar vs. cesta das 5 moedas (2019T4 = 100)</t>
  </si>
  <si>
    <t>Média simples das 5 moedas</t>
  </si>
  <si>
    <t>Ligação com a Netflix</t>
  </si>
  <si>
    <t>Variação do índice do dólar em 12 meses</t>
  </si>
  <si>
    <t>Netflix: crescimento da receita em 12 meses (AH homóloga)</t>
  </si>
  <si>
    <t>Netflix: crescimento da receita EMEA em 12 meses</t>
  </si>
  <si>
    <t>Netflix: despesa de juros (US$ mi)</t>
  </si>
  <si>
    <t>Leitura: dólar forte (2022, 2024T4-2025T1) reduz a receita convertida; juros altos (2023-24) não elevaram a despesa de juros porque a dívida é de taxa fixa.</t>
  </si>
  <si>
    <t>CPI de out/2025 não foi coletado pelo BLS (paralisação do governo dos EUA); a média do 4º tri/2025 usa os meses disponíveis.</t>
  </si>
  <si>
    <t>Análise setorial — streaming e mídia (dados anuais, SEC EDGAR)</t>
  </si>
  <si>
    <t>US$ milhões · Disney: ano fiscal termina em set/out · Netflix, WBD, Paramount e Comcast: ano-calendário</t>
  </si>
  <si>
    <t>Receita (US$ mi)</t>
  </si>
  <si>
    <t>Netflix</t>
  </si>
  <si>
    <t>Disney</t>
  </si>
  <si>
    <t>Warner Bros. Discovery</t>
  </si>
  <si>
    <t>Paramount Global</t>
  </si>
  <si>
    <t>Comcast (NBCU/Peacock)</t>
  </si>
  <si>
    <t>Lucro operacional (US$ mi)</t>
  </si>
  <si>
    <t>Crescimento da receita (AH anual)</t>
  </si>
  <si>
    <t>Margem operacional (AV: EBIT / Receita)</t>
  </si>
  <si>
    <t>WBD 2022: fusão Discovery + WarnerMedia (abr/2022) explica o salto de receita — não é crescimento orgânico. Prejuízos operacionais de WBD e Paramount incluem baixas contábeis (impairments) de TV linear.</t>
  </si>
  <si>
    <t>ATENÇÃO — Disney: a linha de lucro operacional acima é o "lucro operacional dos segmentos" (a Disney não divulga uma linha de resultado operacional GAAP). Para comparar com as demais, use a linha reconstruída abaixo.</t>
  </si>
  <si>
    <t>Disney — resultado operacional comparável (US$ mi)</t>
  </si>
  <si>
    <t>Disney — margem operacional comparável</t>
  </si>
  <si>
    <t>Fonte: reconciliação "segment operating income" → resultado antes de juros nos 10-K da Disney (AF2020, AF2022, AF2024, AF2025): lucro dos segmentos − despesas corporativas − reestruturação e impairments − amortização TFCF/Hulu.</t>
  </si>
  <si>
    <t>Resultado dos negócios de streaming dos concorrentes (US$ milhões) — enquanto a Netflix lucrava, os rivais perdiam</t>
  </si>
  <si>
    <t>Empresa</t>
  </si>
  <si>
    <t>Ano fiscal</t>
  </si>
  <si>
    <t>Métrica</t>
  </si>
  <si>
    <t>Valor (US$ mi)</t>
  </si>
  <si>
    <t>Fonte (documento SEC)</t>
  </si>
  <si>
    <t>Nota</t>
  </si>
  <si>
    <t>Disney (Disney+, Hulu)</t>
  </si>
  <si>
    <t>Resultado operacional do segmento DTC</t>
  </si>
  <si>
    <t>10-K DIS 0001744489-21-000220 (MD&amp;A)</t>
  </si>
  <si>
    <t>Definição antiga do segmento (incluía ESPN+); não reapresentada</t>
  </si>
  <si>
    <t>10-K DIS 0001744489-23-000216 (MD&amp;A)</t>
  </si>
  <si>
    <t>10-K DIS 0001744489-24-000276 (MD&amp;A)</t>
  </si>
  <si>
    <t>10-K DIS 0001744489-25-000155 (MD&amp;A)</t>
  </si>
  <si>
    <t>Paramount (Paramount+, Pluto TV)</t>
  </si>
  <si>
    <t>Adjusted OIBDA do segmento DTC</t>
  </si>
  <si>
    <t>10-K PARA 0000813828-23-000005 (MD&amp;A)</t>
  </si>
  <si>
    <t>10-K PARA 0000813828-24-000007 (MD&amp;A)</t>
  </si>
  <si>
    <t>10-K PARA 0000813828-25-000005 (MD&amp;A)</t>
  </si>
  <si>
    <t>Último 10-K da Paramount Global antes da fusão com a Skydance (ago/2025)</t>
  </si>
  <si>
    <t>Warner Bros. Discovery (Max/HBO Max)</t>
  </si>
  <si>
    <t>Adjusted EBITDA do segmento DTC/Streaming</t>
  </si>
  <si>
    <t>10-K WBD 0001437107-23-000019 (MD&amp;A)</t>
  </si>
  <si>
    <t>Inclui WarnerMedia (HBO Max) só a partir de 08/04/2022 (fusão)</t>
  </si>
  <si>
    <t>10-K WBD 0001437107-26-000020 (XBRL)</t>
  </si>
  <si>
    <t>Netflix (para comparação): EBIT anual na tabela acima — US$ 4,6 bi (2020) → US$ 13,3 bi (2025).</t>
  </si>
  <si>
    <t>Variações bruscas — "perguntas ruins" e as respostas oficiais</t>
  </si>
  <si>
    <t>Cada resposta é sustentada por um trecho do documento arquivado na SEC (10-Q, 10-K ou carta aos acionistas, Ex. 99.1 do 8-K).</t>
  </si>
  <si>
    <t>Trimestre</t>
  </si>
  <si>
    <t>Indicador</t>
  </si>
  <si>
    <t>Pergunta ruim</t>
  </si>
  <si>
    <t>Resposta</t>
  </si>
  <si>
    <t>Trecho oficial (inglês)</t>
  </si>
  <si>
    <t>Documento</t>
  </si>
  <si>
    <t>Accession SEC</t>
  </si>
  <si>
    <t>FCO e FCL</t>
  </si>
  <si>
    <t>Como o caixa operacional saltou de US$ 0,26 bi para US$ 1,04 bi no meio da pandemia?</t>
  </si>
  <si>
    <t>As produções pararam (Covid-19): o gasto de caixa com conteúdo caiu 24% no trimestre e ficou abaixo da amortização (0,96x), enquanto o confinamento trouxe 26 milhões de novos assinantes no 1º semestre.</t>
  </si>
  <si>
    <t>dollar) remains a wildcard. As always, our intention is to grow our annual operating margin year over year - we’re currently targeting 19% for 2021. Content As the world slowly re-opens, our main business priority is to restart our productions safely and in a manner consistent with local health and safety standards to ensure that our members can enjoy a diverse range of high quality new content. Given the significant differences between countries (e.g., incid</t>
  </si>
  <si>
    <t>Carta aos acionistas (8-K, Ex. 99.1) q220</t>
  </si>
  <si>
    <t>0001065280-20-000306</t>
  </si>
  <si>
    <t>2021T2-2021T4</t>
  </si>
  <si>
    <t>FCL negativo</t>
  </si>
  <si>
    <t>Por que a Netflix lucrou US$ 5,1 bi em 2021 e mesmo assim queimou caixa?</t>
  </si>
  <si>
    <t>Com a retomada das produções, o pagamento de conteúdo superou a amortização contábil em US$ 5,2 bi. Lucro (competência) e caixa se descolaram: o conteúdo é pago antes e amortizado ao longo de anos.</t>
  </si>
  <si>
    <t>rchases of common stock for an aggregate amount of $600 million in the year ended December 31, 2021 and repayment upon maturity of the $500 million aggregate principal amount of our 5.375% Senior Notes in February 2021. Free cash flow was $5,275 million lower than net income for the year ended December 31, 2021 primarily due to $5,239 million of cash payments for content assets over amortization expense, $431 million of non-cash remeasurement gain on our euro-denominated deb</t>
  </si>
  <si>
    <t>10-K 2021-12-31</t>
  </si>
  <si>
    <t>0001065280-22-000036</t>
  </si>
  <si>
    <t>Todo T4</t>
  </si>
  <si>
    <t>Margem operacional</t>
  </si>
  <si>
    <t>Por que a margem operacional despenca em todo 4º trimestre (8% em 2021T4, 7% em 2022T4)?</t>
  </si>
  <si>
    <t>Sazonalidade planejada: a Netflix concentra os grandes lançamentos (e a amortização e o marketing deles) no fim do ano. Por isso a comparação correta é contra o mesmo trimestre do ano anterior (AH homóloga).</t>
  </si>
  <si>
    <t>er year on both a reported and foreign exchange (F/X) neutral basis, two percentage points faster than Q3’21 (ex-F/X). Operating margin for Q4 amounted to 8%, a six percentage point decrease vs. the year ago period. The decline in operating margin was expected given our large content slate in Q4 this year. Operating margin was above our beginning of quarter forecast of 6.5% due to slightly lower than forecasted content spend. As a result, our full year operating margin was 21</t>
  </si>
  <si>
    <t>Carta aos acionistas (8-K, Ex. 99.1) q421</t>
  </si>
  <si>
    <t>0001065280-22-000035</t>
  </si>
  <si>
    <t>2022T1-2022T2</t>
  </si>
  <si>
    <t>Assinantes</t>
  </si>
  <si>
    <t>Por que a Netflix perdeu assinantes pela primeira vez em mais de uma década?</t>
  </si>
  <si>
    <t>Saída da Rússia (-0,7 mi), aquisição fraca em todas as regiões, compartilhamento de senhas e pressão macro (inflação, guerra). Foram -0,2 mi no 1º tri e -0,97 mi no 2º tri de 2022.</t>
  </si>
  <si>
    <t>uded a $162 million non-cash unrealized gain from F/X remeasurement on our Euro denominated debt. Paid net additions were -0.2m compared against our guidance forecast of 2.5m and 4.0m in the same quarter a year ago. The suspension of our service in Russia and winding-down of all Russian paid memberships resulted in a -0.7m impact on paid net adds; excluding this impact, paid net additions totaled +0.5m. The main challenge for membership growth is continued soft acquisiti</t>
  </si>
  <si>
    <t>Carta aos acionistas (8-K, Ex. 99.1) q122</t>
  </si>
  <si>
    <t>0001065280-22-000144</t>
  </si>
  <si>
    <t>2022T2-2022T4</t>
  </si>
  <si>
    <t>Receita (câmbio)</t>
  </si>
  <si>
    <t>Por que a receita cresceu só 2% no 4º tri/2022 e a receita da EMEA caiu ao longo de 2022?</t>
  </si>
  <si>
    <t>Dólar forte: o euro chegou à paridade e o índice do dólar contra as moedas das regiões da Netflix subiu ~16% vs. 2019. Em moeda constante a receita cresceu 10%.</t>
  </si>
  <si>
    <t>creativity. I couldn’t be more excited to work alongside them as we seek to delight audiences for years to come.” For full details of Netflix leadership see here 3 . Q4 Results Year over year revenue growth of 2% in Q4 (10% on a foreign exchange (F/X) neutral basis 4 ) was driven by a 4% increase in average paid memberships. ARM 5 declined 2% year over year, but grew 5% on a F/X neutral basis 4 . Revenue was slightly above our beginning-of-quarter projection, a</t>
  </si>
  <si>
    <t>Carta aos acionistas (8-K, Ex. 99.1) q422</t>
  </si>
  <si>
    <t>0001065280-23-000034</t>
  </si>
  <si>
    <t>Por que o lucro do 4º tri/2022 caiu 96% (US$ 55 mi), se o EBIT foi de US$ 550 mi?</t>
  </si>
  <si>
    <t>Perda cambial não-caixa de US$ 462 mi na remensuração da dívida em euros (o dólar se desvalorizou no trimestre), somada à margem sazonalmente baixa do T4.</t>
  </si>
  <si>
    <t>o not include sales taxes or VAT. 6 https://s22.q4cdn.com/959853165/files/doc_financials/2021/q4/FINAL-Q4-21-Shareholder-Letter.pdf 2 EPS in Q4’22 was $0.12 vs. $1.33 in Q4‘21. This was below our $0.36 forecast due to a $462M non-cash unrealized loss from the F/X remeasurement on our Euro denominated debt as a result of the depreciation of the US dollar vs. the Euro during Q4’22. As a reminder, our approximately $5B of Euro bonds provides us with some natural hedge</t>
  </si>
  <si>
    <t>2022-2023</t>
  </si>
  <si>
    <t>O Fed subiu os juros de ~0% para 5,3%: por que a despesa financeira da Netflix não subiu?</t>
  </si>
  <si>
    <t>Toda a dívida está em notas de taxa fixa emitidas antes do ciclo de alta; a despesa de juros ficou estável (US$ 170-195 mi por trimestre até 2025T3). O salto pontual em 2025T4-2026T1 (US$ 234-262 mi) coincide com o empréstimo-ponte de US$ 59 bi contratado em 04/12/2025 para a compra da WBD, e volta ao normal em 2026T2.</t>
  </si>
  <si>
    <t>investments were generally invested in money market funds and time deposits. Interest paid on such funds fluctuates with the prevailing interest rate. As of December 31, 2022, we had $14.4 billion of debt, consisting of fixed rate unsecured debt in fourteen tranches due between 2024 and 2030. Refer to Note 6 to the consolidated financial statements for details about all issuances. The fair value of our debt will fluctuate with movements of intere</t>
  </si>
  <si>
    <t>10-K 2022-12-31</t>
  </si>
  <si>
    <t>0001065280-23-000035</t>
  </si>
  <si>
    <t>Como o caixa livre de 2023 (US$ 6,9 bi) superou o lucro, se a receita só cresceu 7%?</t>
  </si>
  <si>
    <t>As greves de roteiristas (WGA) e atores (SAG-AFTRA) pararam as produções: a amortização superou o gasto de caixa com conteúdo em US$ 1,06 bi. Caixa reforçado temporariamente, não recorrente.</t>
  </si>
  <si>
    <t>rtially offset by the absence of debt maturities in the year ended December 31, 2023 as compared to the repayment upon maturity of the $700 million aggregate principal amount of our 5.500% Senior Notes in February 2022. Free cash flow was $1,518 million higher than net income for the year ended December 31, 2023 primarily due to $1,057 million of amortization expense exceeding cash payments for content assets, $339 million of non-cash stock-based compensation expense, $176 mi</t>
  </si>
  <si>
    <t>10-K 2023-12-31</t>
  </si>
  <si>
    <t>0001065280-24-000030</t>
  </si>
  <si>
    <t>2023T3-2023T4</t>
  </si>
  <si>
    <t>Por que o patrimônio líquido encolheu no 2º semestre de 2023, com a empresa lucrando?</t>
  </si>
  <si>
    <t>Recompra de ações de US$ 5 bi no semestre (US$ 6 bi no ano): devolução de caixa ao acionista maior que o lucro do período.</t>
  </si>
  <si>
    <t>business and market conditions, and alternative investment opportunities. We may discontinue any repurchases of our common stock at any time without prior notice. In the fiscal year ended December 31, 2023, the Company repurchased 14,513,790 shares of common stock for an aggregate amount of $6,045 million. As of December 31, 2023, $8.4 billion remains available for repurchases. Our primary uses of cash include the acquisition, licensing and production of content,</t>
  </si>
  <si>
    <t>2023T3-2024T4</t>
  </si>
  <si>
    <t>Receita</t>
  </si>
  <si>
    <t>O que fez a receita voltar a crescer mais de 15% ao ano a partir de 2024?</t>
  </si>
  <si>
    <t>Compartilhamento pago (bloqueio de senhas, mai/2023 em 100+ países), plano com anúncios (nov/2022) e reajustes de preço. Os assinantes saltaram de 238 mi (2023T2) para 302 mi (2024T4).</t>
  </si>
  <si>
    <t>EX-99.1 2 ex991_q223.htm EX-99.1 Document Exhibit 99.1 July 19, 2023 Summary: • In May, we successfully launched paid sharing in 100+ countries, representing more than 80% of our revenue base. ◦ Revenue in each region is now higher than pre-launch, with sign-ups already exceeding cancellations. ◦ Paid net additions were 5.9M in Q2, and today w</t>
  </si>
  <si>
    <t>Carta aos acionistas (8-K, Ex. 99.1) q223</t>
  </si>
  <si>
    <t>0001065280-23-000197</t>
  </si>
  <si>
    <t>Por que a margem do 3º tri/2025 (28%) ficou abaixo da meta de 31,5%?</t>
  </si>
  <si>
    <t>Despesa de ~US$ 619 mi com disputa de tributos (não sobre a renda) no Brasil, reconhecida de uma vez no trimestre.</t>
  </si>
  <si>
    <t>cument Exhibit 99.1 October 21, 2025 Fellow shareholders, • Revenue in Q3 grew 17%, in-line with our forecast. Operating margin of 28% was below our guidance of 31.5% due to an expense related to an ongoing dispute with Brazilian tax authorities that was not in our forecast. Absent this expense, we would have exceeded our Q3'25 operating margin forecast. We don’t expect this matter to have a material impact on future results. • Engagement remains healthy. We hi</t>
  </si>
  <si>
    <t>Carta aos acionistas (8-K, Ex. 99.1) q325</t>
  </si>
  <si>
    <t>0001065280-25-000404</t>
  </si>
  <si>
    <t>Lucro líquido &gt; EBIT</t>
  </si>
  <si>
    <t>Como o lucro líquido do 1º tri/2026 (US$ 5,28 bi) superou o lucro operacional (US$ 3,96 bi)?</t>
  </si>
  <si>
    <t>Multa rescisória de US$ 2,8 bi paga à Netflix (pela Paramount Skydance, em nome da WBD) quando a WBD desistiu da venda para a Netflix. Não é recorrente nem operacional.</t>
  </si>
  <si>
    <t>d entry into such agreement between WBD and PSKY, PSKY, on behalf of WBD, paid a $ 2.8 billion termination fee owed to Netflix in accordance with the terms of the Amended and Restated Merger Agreement. The $ 2.8 billion termination fee received was recorded in “Interest and other income (expense)” in the Company’s Consolidated Statements of Operations during the three months ended March 31, 2026. 12 Table of Contents 7. Debt As of March 31, 2026, the Company had aggregate</t>
  </si>
  <si>
    <t>10-Q 2026-03-31</t>
  </si>
  <si>
    <t>0001065280-26-000138</t>
  </si>
  <si>
    <t>Por que o caixa operacional caiu 67% no 2º tri/2026?</t>
  </si>
  <si>
    <t>Pagamento de impostos sobre a multa rescisória recebida no trimestre anterior; a operação seguiu crescendo (margem 33,4%).</t>
  </si>
  <si>
    <t>n 90 countries). Cash Flow and Capital Structure Net cash generated from operating activities was $1.7B vs $2.4B in the prior year period. Free cash flow (FCF) 10 in Q2’26 totaled $1.5B vs. $2.3B in Q2’25. This included higher cash tax payments due in part to the Warner Bros. termination fee. For the full year, we continue to expect FCF of approximately $12.5B, and an annual cash content spend to amortization ratio of ~1.1x. Our capital allocation approach is</t>
  </si>
  <si>
    <t>Carta aos acionistas (8-K, Ex. 99.1) q226</t>
  </si>
  <si>
    <t>0001065280-26-000211</t>
  </si>
  <si>
    <t>2019-2020T1, 2021T4, 2024T2</t>
  </si>
  <si>
    <t>Fleuriet (tipo VI)</t>
  </si>
  <si>
    <t>Se a Netflix tem caixa de sobra, por que o modelo Fleuriet a classifica como "alto risco" em alguns trimestres?</t>
  </si>
  <si>
    <t>Nesses trimestres o CCL ficou negativo (passivo circulante &gt; ativo circulante): o saldo de tesouraria positivo era sustentado por obrigações de curto prazo — conteúdo a pagar, receita recebida antecipadamente e, em 2024T2, US$ 1,8 bi de dívida vencendo em 12 meses. Funciona enquanto a empresa cresce e recebe antes de pagar; desde 2024T3 a estrutura é do tipo I (excelente).</t>
  </si>
  <si>
    <t>Cálculo próprio — aba Indicadores (Fleuriet)</t>
  </si>
  <si>
    <t>2025 em diante</t>
  </si>
  <si>
    <t>Por que a Netflix parou de divulgar o número de assinantes?</t>
  </si>
  <si>
    <t>Decisão anunciada em abr/2024: com planos e preços diferentes por país, cada assinante tem impacto distinto na receita. Limitação da análise: a partir de 2025 só há receita por região.</t>
  </si>
  <si>
    <t>ng on the country, each incremental paid membership has a very different business impact. It’s why we stopped providing quarterly paid membership guidance in 2023 and, starting next year with our Q1'25 earnings, we will stop reporting quarterly membership numbers and ARM. We’ll continue to provide a breakout of revenue by region each quarter and the F/X impact to complement our financials. For guidance, we’ll add annual revenue guidance on top of what we already provide</t>
  </si>
  <si>
    <t>Carta aos acionistas (8-K, Ex. 99.1) q124</t>
  </si>
  <si>
    <t>0001065280-24-000127</t>
  </si>
  <si>
    <t>Validação — conferências contábeis</t>
  </si>
  <si>
    <t>Maior desvio absoluto em um trimestre (US$ milhões). Tolerância: 1 (arredondamento entre balanço e notas na SEC).</t>
  </si>
  <si>
    <t>Conferência</t>
  </si>
  <si>
    <t>Maior |desvio|</t>
  </si>
  <si>
    <t>Status</t>
  </si>
  <si>
    <t>EBIT montado (receita − custos − despesas) = EBIT informado</t>
  </si>
  <si>
    <t>LAIR montado = LAIR informado</t>
  </si>
  <si>
    <t>Lucro líquido montado = informado</t>
  </si>
  <si>
    <t>Ativo = Passivo + PL</t>
  </si>
  <si>
    <t>Ativo circulante montado = informado</t>
  </si>
  <si>
    <t>Passivo circulante: soma das linhas = total informado (resíduo de arredondamento)</t>
  </si>
  <si>
    <t>Passivo não circulante: soma das linhas = PT − PC (resíduo de arredondamento)</t>
  </si>
  <si>
    <t>Fleuriet: ST = CCL − NCG = disponibilidades − dívida CP</t>
  </si>
  <si>
    <t>Validação da base trimestral (gerado por scripts/02_base_trimestral.py)</t>
  </si>
  <si>
    <t>1. Identidades contábeis</t>
  </si>
  <si>
    <t>- Ativo = Passivo + PL: OK (maior diferença 0.00 US$ mi)</t>
  </si>
  <si>
    <t>- Passivo + PL informado = Ativo: OK (maior diferença 0.00 US$ mi)</t>
  </si>
  <si>
    <t>- EBIT = Receita - Custos - Marketing - Tecnologia - G&amp;A: OK (maior diferença 0.00 US$ mi)</t>
  </si>
  <si>
    <t>- LAIR = EBIT - Juros + Outras receitas/despesas financeiras: OK (maior diferença 0.00 US$ mi)</t>
  </si>
  <si>
    <t>- Lucro líquido = LAIR - IR: OK (maior diferença 0.00 US$ mi)</t>
  </si>
  <si>
    <t>- AC = Caixa + Aplicações CP + Outros AC: OK (maior diferença 0.00 US$ mi)</t>
  </si>
  <si>
    <t>- PC = Passivo conteúdo CP + Fornecedores + Provisões + Receita diferida + Dívida CP: OK (maior diferença 0.63 US$ mi)</t>
  </si>
  <si>
    <t>- Receita DVD (total - 4 regiões de streaming) = DVD informado no 10-Q: OK (maior diferença 0.50 US$ mi)</t>
  </si>
  <si>
    <t>- Receita DVD nunca negativa e zerada após 2023T3: OK</t>
  </si>
  <si>
    <t>2. Conferência cruzada com a API companyfacts da SEC (fonte independente do XBRL bruto)</t>
  </si>
  <si>
    <t>- receita (soma dos 4 trimestres = ano do 10-K): OK (maior diferença 0.00 US$ mi)</t>
  </si>
  <si>
    <t>- lucro_liquido (soma dos 4 trimestres = ano do 10-K): OK (maior diferença 0.00 US$ mi)</t>
  </si>
  <si>
    <t>- ativo_total (saldos trimestrais): OK (maior diferença 0.00 US$ mi)</t>
  </si>
  <si>
    <t>- fco (soma dos 4 trimestres = ano do 10-K): OK (maior diferença 0.00 US$ mi)</t>
  </si>
  <si>
    <t>- patrimonio_liquido (saldos trimestrais): OK (maior diferença 0.00 US$ mi)</t>
  </si>
  <si>
    <t>3. Lacunas (valores não divulgados — mantidos vazios, sem preenchimento artificial)</t>
  </si>
  <si>
    <t>- Nenhuma lacuna.</t>
  </si>
  <si>
    <t>- Assinantes pagos por região: a Netflix deixou de divulgar a partir de 2025T1 (decisão anunciada na carta aos acionistas do 1º tri/2024). Último dado avulso: "325 milhões de assinantes pagos" citado na carta do 4º tri/2025.</t>
  </si>
  <si>
    <t>Documentos oficiais usados (SEC EDGAR)</t>
  </si>
  <si>
    <t>Formulário</t>
  </si>
  <si>
    <t>Período</t>
  </si>
  <si>
    <t>Arquivado em</t>
  </si>
  <si>
    <t>Accession</t>
  </si>
  <si>
    <t>Link</t>
  </si>
  <si>
    <t>10-Q</t>
  </si>
  <si>
    <t>2019-03-31</t>
  </si>
  <si>
    <t>2019-04-18</t>
  </si>
  <si>
    <t>0001065280-19-000157</t>
  </si>
  <si>
    <t>https://www.sec.gov/Archives/edgar/data/1065280/000106528019000157/form10q_q119.htm</t>
  </si>
  <si>
    <t>2019-06-30</t>
  </si>
  <si>
    <t>2019-07-19</t>
  </si>
  <si>
    <t>0001065280-19-000260</t>
  </si>
  <si>
    <t>https://www.sec.gov/Archives/edgar/data/1065280/000106528019000260/form10qq219.htm</t>
  </si>
  <si>
    <t>2019-09-30</t>
  </si>
  <si>
    <t>2019-10-18</t>
  </si>
  <si>
    <t>0001065280-19-000368</t>
  </si>
  <si>
    <t>https://www.sec.gov/Archives/edgar/data/1065280/000106528019000368/form10qq319.htm</t>
  </si>
  <si>
    <t>10-K</t>
  </si>
  <si>
    <t>2019-12-31</t>
  </si>
  <si>
    <t>2020-01-29</t>
  </si>
  <si>
    <t>0001065280-20-000040</t>
  </si>
  <si>
    <t>https://www.sec.gov/Archives/edgar/data/1065280/000106528020000040/form10kq419.htm</t>
  </si>
  <si>
    <t>2020-03-31</t>
  </si>
  <si>
    <t>2020-04-21</t>
  </si>
  <si>
    <t>0001065280-20-000155</t>
  </si>
  <si>
    <t>https://www.sec.gov/Archives/edgar/data/1065280/000106528020000155/form10qq120.htm</t>
  </si>
  <si>
    <t>2020-06-30</t>
  </si>
  <si>
    <t>2020-07-20</t>
  </si>
  <si>
    <t>0001065280-20-000309</t>
  </si>
  <si>
    <t>https://www.sec.gov/Archives/edgar/data/1065280/000106528020000309/form10qq220.htm</t>
  </si>
  <si>
    <t>2020-09-30</t>
  </si>
  <si>
    <t>2020-10-22</t>
  </si>
  <si>
    <t>0001065280-20-000451</t>
  </si>
  <si>
    <t>https://www.sec.gov/Archives/edgar/data/1065280/000106528020000451/form10qq320.htm</t>
  </si>
  <si>
    <t>2020-12-31</t>
  </si>
  <si>
    <t>2021-01-28</t>
  </si>
  <si>
    <t>0001065280-21-000040</t>
  </si>
  <si>
    <t>https://www.sec.gov/Archives/edgar/data/1065280/000106528021000040/nflx-20201231.htm</t>
  </si>
  <si>
    <t>2021-03-31</t>
  </si>
  <si>
    <t>2021-04-22</t>
  </si>
  <si>
    <t>0001065280-21-000144</t>
  </si>
  <si>
    <t>https://www.sec.gov/Archives/edgar/data/1065280/000106528021000144/nflx-20210331.htm</t>
  </si>
  <si>
    <t>2021-06-30</t>
  </si>
  <si>
    <t>2021-07-22</t>
  </si>
  <si>
    <t>0001065280-21-000250</t>
  </si>
  <si>
    <t>https://www.sec.gov/Archives/edgar/data/1065280/000106528021000250/nflx-20210630.htm</t>
  </si>
  <si>
    <t>2021-09-30</t>
  </si>
  <si>
    <t>2021-10-21</t>
  </si>
  <si>
    <t>0001065280-21-000363</t>
  </si>
  <si>
    <t>https://www.sec.gov/Archives/edgar/data/1065280/000106528021000363/nflx-20210930.htm</t>
  </si>
  <si>
    <t>2021-12-31</t>
  </si>
  <si>
    <t>2022-01-27</t>
  </si>
  <si>
    <t>https://www.sec.gov/Archives/edgar/data/1065280/000106528022000036/nflx-20211231.htm</t>
  </si>
  <si>
    <t>2022-03-31</t>
  </si>
  <si>
    <t>2022-04-21</t>
  </si>
  <si>
    <t>0001065280-22-000145</t>
  </si>
  <si>
    <t>https://www.sec.gov/Archives/edgar/data/1065280/000106528022000145/nflx-20220331.htm</t>
  </si>
  <si>
    <t>2022-06-30</t>
  </si>
  <si>
    <t>2022-07-21</t>
  </si>
  <si>
    <t>0001065280-22-000257</t>
  </si>
  <si>
    <t>https://www.sec.gov/Archives/edgar/data/1065280/000106528022000257/nflx-20220630.htm</t>
  </si>
  <si>
    <t>2022-09-30</t>
  </si>
  <si>
    <t>2022-10-20</t>
  </si>
  <si>
    <t>0001065280-22-000368</t>
  </si>
  <si>
    <t>https://www.sec.gov/Archives/edgar/data/1065280/000106528022000368/nflx-20220930.htm</t>
  </si>
  <si>
    <t>2022-12-31</t>
  </si>
  <si>
    <t>2023-01-26</t>
  </si>
  <si>
    <t>https://www.sec.gov/Archives/edgar/data/1065280/000106528023000035/nflx-20221231.htm</t>
  </si>
  <si>
    <t>2023-03-31</t>
  </si>
  <si>
    <t>2023-04-21</t>
  </si>
  <si>
    <t>0001065280-23-000120</t>
  </si>
  <si>
    <t>https://www.sec.gov/Archives/edgar/data/1065280/000106528023000120/nflx-20230331.htm</t>
  </si>
  <si>
    <t>2023-06-30</t>
  </si>
  <si>
    <t>2023-07-21</t>
  </si>
  <si>
    <t>0001065280-23-000198</t>
  </si>
  <si>
    <t>https://www.sec.gov/Archives/edgar/data/1065280/000106528023000198/nflx-20230630.htm</t>
  </si>
  <si>
    <t>2023-09-30</t>
  </si>
  <si>
    <t>2023-10-20</t>
  </si>
  <si>
    <t>0001065280-23-000273</t>
  </si>
  <si>
    <t>https://www.sec.gov/Archives/edgar/data/1065280/000106528023000273/nflx-20230930.htm</t>
  </si>
  <si>
    <t>2023-12-31</t>
  </si>
  <si>
    <t>2024-01-26</t>
  </si>
  <si>
    <t>https://www.sec.gov/Archives/edgar/data/1065280/000106528024000030/nflx-20231231.htm</t>
  </si>
  <si>
    <t>2024-03-31</t>
  </si>
  <si>
    <t>2024-04-22</t>
  </si>
  <si>
    <t>0001065280-24-000128</t>
  </si>
  <si>
    <t>https://www.sec.gov/Archives/edgar/data/1065280/000106528024000128/nflx-20240331.htm</t>
  </si>
  <si>
    <t>2024-06-30</t>
  </si>
  <si>
    <t>2024-07-19</t>
  </si>
  <si>
    <t>0001065280-24-000200</t>
  </si>
  <si>
    <t>https://www.sec.gov/Archives/edgar/data/1065280/000106528024000200/nflx-20240630.htm</t>
  </si>
  <si>
    <t>2024-09-30</t>
  </si>
  <si>
    <t>2024-10-18</t>
  </si>
  <si>
    <t>0001065280-24-000287</t>
  </si>
  <si>
    <t>https://www.sec.gov/Archives/edgar/data/1065280/000106528024000287/nflx-20240930.htm</t>
  </si>
  <si>
    <t>2024-12-31</t>
  </si>
  <si>
    <t>2025-01-27</t>
  </si>
  <si>
    <t>0001065280-25-000044</t>
  </si>
  <si>
    <t>https://www.sec.gov/Archives/edgar/data/1065280/000106528025000044/nflx-20241231.htm</t>
  </si>
  <si>
    <t>2025-03-31</t>
  </si>
  <si>
    <t>2025-04-18</t>
  </si>
  <si>
    <t>0001065280-25-000176</t>
  </si>
  <si>
    <t>https://www.sec.gov/Archives/edgar/data/1065280/000106528025000176/nflx-20250331.htm</t>
  </si>
  <si>
    <t>2025-06-30</t>
  </si>
  <si>
    <t>2025-07-18</t>
  </si>
  <si>
    <t>0001065280-25-000323</t>
  </si>
  <si>
    <t>https://www.sec.gov/Archives/edgar/data/1065280/000106528025000323/nflx-20250630.htm</t>
  </si>
  <si>
    <t>2025-09-30</t>
  </si>
  <si>
    <t>2025-10-22</t>
  </si>
  <si>
    <t>0001065280-25-000406</t>
  </si>
  <si>
    <t>https://www.sec.gov/Archives/edgar/data/1065280/000106528025000406/nflx-20250930.htm</t>
  </si>
  <si>
    <t>2025-12-31</t>
  </si>
  <si>
    <t>2026-01-23</t>
  </si>
  <si>
    <t>0001065280-26-000034</t>
  </si>
  <si>
    <t>https://www.sec.gov/Archives/edgar/data/1065280/000106528026000034/nflx-20251231.htm</t>
  </si>
  <si>
    <t>2026-03-31</t>
  </si>
  <si>
    <t>2026-04-17</t>
  </si>
  <si>
    <t>https://www.sec.gov/Archives/edgar/data/1065280/000106528026000138/nflx-20260331.htm</t>
  </si>
  <si>
    <t>2026-06-30</t>
  </si>
  <si>
    <t>2026-07-17</t>
  </si>
  <si>
    <t>0001065280-26-000212</t>
  </si>
  <si>
    <t>https://www.sec.gov/Archives/edgar/data/1065280/000106528026000212/nflx-20260630.htm</t>
  </si>
  <si>
    <t>Macro: Federal Reserve H.15 (federalreserve.gov/datadownload) · U.S. Treasury Daily Par Yield Curve (home.treasury.gov) · BLS API (api.bls.gov: CUUR0000SA0, LNS14000000) · Banco Central Europeu (data-api.ecb.europa.eu, EXR mensal).</t>
  </si>
  <si>
    <t>Concorrentes: 10-K de Disney (CIK 1744489), Warner Bros. Discovery (1437107), Paramount Global (813828), Comcast (1166691).</t>
  </si>
  <si>
    <t>Cartas aos acionistas da Netflix: Exhibit 99.1 dos 8-K de resultados (item 2.02), 2019-2026.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</si>
</sst>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Red]\-#,##0.0"/>
    <numFmt numFmtId="165" formatCode="0.00&quot;x&quot;"/>
    <numFmt numFmtId="166" formatCode="0.0%;[Red]\-0.0%"/>
    <numFmt numFmtId="167" formatCode="#,##0.0"/>
    <numFmt numFmtId="168" formatCode="0.000"/>
    <numFmt numFmtId="169" formatCode="0.0"/>
  </numFmts>
  <fonts count="10" x14ac:knownFonts="1">
    <font>
      <sz val="11"/>
      <color theme="1"/>
      <name val="Calibri"/>
      <family val="2"/>
      <scheme val="minor"/>
    </font>
    <font>
      <b/>
      <sz val="14"/>
      <color rgb="FF0B0B0B"/>
      <name val="Calibri"/>
    </font>
    <font>
      <i/>
      <sz val="9"/>
      <color rgb="FF52514E"/>
      <name val="Calibri"/>
    </font>
    <font>
      <b/>
      <sz val="10"/>
      <color rgb="FFFFFFFF"/>
      <name val="Calibri"/>
    </font>
    <font>
      <b/>
      <sz val="10"/>
      <color rgb="FF0B0B0B"/>
      <name val="Calibri"/>
    </font>
    <font>
      <sz val="8"/>
      <color rgb="FF898781"/>
      <name val="Calibri"/>
    </font>
    <font>
      <sz val="10"/>
      <color rgb="FF1F4FB4"/>
      <name val="Calibri"/>
    </font>
    <font>
      <sz val="10"/>
      <color rgb="FF0B0B0B"/>
      <name val="Calibri"/>
    </font>
    <font>
      <b/>
      <sz val="11"/>
      <color rgb="FFFFFFFF"/>
      <name val="Calibri"/>
    </font>
    <font>
      <b/>
      <sz val="8"/>
      <color rgb="FFB23A0E"/>
      <name val="Calibri"/>
    </font>
  </fonts>
  <fills count="5">
    <fill>
      <patternFill patternType="none"/>
    </fill>
    <fill>
      <patternFill patternType="gray125"/>
    </fill>
    <fill>
      <patternFill patternType="solid">
        <fgColor rgb="FF1E293B"/>
      </patternFill>
    </fill>
    <fill>
      <patternFill patternType="solid">
        <fgColor rgb="FFF0EFEC"/>
      </patternFill>
    </fill>
    <fill>
      <patternFill patternType="solid">
        <fgColor rgb="FFEAF6EE"/>
      </patternFill>
    </fill>
  </fills>
  <borders count="2">
    <border>
      <left/>
      <right/>
      <top/>
      <bottom/>
      <diagonal/>
    </border>
    <border>
      <left/>
      <right/>
      <top/>
      <bottom style="thin">
        <color rgb="FFE1E0D9"/>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4" fillId="0" borderId="0" xfId="0" applyFont="1"/>
    <xf numFmtId="0" fontId="7" fillId="0" borderId="0" xfId="0" applyFont="1"/>
    <xf numFmtId="0" fontId="3" fillId="2" borderId="0" xfId="0" applyFont="1" applyFill="1" applyAlignment="1">
      <alignment horizontal="center"/>
    </xf>
    <xf numFmtId="0" fontId="4" fillId="3" borderId="0" xfId="0" applyFont="1" applyFill="1"/>
    <xf numFmtId="0" fontId="0" fillId="3" borderId="0" xfId="0" applyFill="1"/>
    <xf numFmtId="0" fontId="5" fillId="0" borderId="0" xfId="0" applyFont="1"/>
    <xf numFmtId="164" fontId="6" fillId="0" borderId="1" xfId="0" applyNumberFormat="1" applyFont="1" applyBorder="1"/>
    <xf numFmtId="164" fontId="4" fillId="0" borderId="1" xfId="0" applyNumberFormat="1" applyFont="1" applyBorder="1"/>
    <xf numFmtId="164" fontId="7" fillId="0" borderId="1" xfId="0" applyNumberFormat="1" applyFont="1" applyBorder="1"/>
    <xf numFmtId="164" fontId="7" fillId="4" borderId="1" xfId="0" applyNumberFormat="1" applyFont="1" applyFill="1" applyBorder="1"/>
    <xf numFmtId="165" fontId="4" fillId="0" borderId="1" xfId="0" applyNumberFormat="1" applyFont="1" applyBorder="1"/>
    <xf numFmtId="166" fontId="7" fillId="0" borderId="1" xfId="0" applyNumberFormat="1" applyFont="1" applyBorder="1"/>
    <xf numFmtId="166" fontId="4" fillId="0" borderId="1" xfId="0" applyNumberFormat="1" applyFont="1" applyBorder="1"/>
    <xf numFmtId="166" fontId="5" fillId="0" borderId="1" xfId="0" applyNumberFormat="1" applyFont="1" applyBorder="1" applyAlignment="1">
      <alignment horizontal="center"/>
    </xf>
    <xf numFmtId="1" fontId="5" fillId="0" borderId="1" xfId="0" applyNumberFormat="1" applyFont="1" applyBorder="1" applyAlignment="1">
      <alignment horizontal="center"/>
    </xf>
    <xf numFmtId="1" fontId="7" fillId="0" borderId="1" xfId="0" applyNumberFormat="1" applyFont="1" applyBorder="1"/>
    <xf numFmtId="4" fontId="5" fillId="0" borderId="1" xfId="0" applyNumberFormat="1" applyFont="1" applyBorder="1" applyAlignment="1">
      <alignment horizontal="center"/>
    </xf>
    <xf numFmtId="4" fontId="4" fillId="0" borderId="1" xfId="0" applyNumberFormat="1" applyFont="1" applyBorder="1"/>
    <xf numFmtId="164" fontId="5" fillId="0" borderId="1" xfId="0" applyNumberFormat="1" applyFont="1" applyBorder="1" applyAlignment="1">
      <alignment horizontal="center"/>
    </xf>
    <xf numFmtId="4" fontId="7" fillId="0" borderId="1" xfId="0" applyNumberFormat="1" applyFont="1" applyBorder="1"/>
    <xf numFmtId="166" fontId="5" fillId="4" borderId="1" xfId="0" applyNumberFormat="1" applyFont="1" applyFill="1" applyBorder="1" applyAlignment="1">
      <alignment horizontal="center"/>
    </xf>
    <xf numFmtId="166" fontId="7" fillId="4" borderId="1" xfId="0" applyNumberFormat="1" applyFont="1" applyFill="1" applyBorder="1"/>
    <xf numFmtId="49" fontId="4" fillId="0" borderId="1" xfId="0" applyNumberFormat="1" applyFont="1" applyBorder="1"/>
    <xf numFmtId="165" fontId="5" fillId="0" borderId="1" xfId="0" applyNumberFormat="1" applyFont="1" applyBorder="1" applyAlignment="1">
      <alignment horizontal="center"/>
    </xf>
    <xf numFmtId="165" fontId="7" fillId="0" borderId="1" xfId="0" applyNumberFormat="1" applyFont="1" applyBorder="1"/>
    <xf numFmtId="167" fontId="6" fillId="0" borderId="1" xfId="0" applyNumberFormat="1" applyFont="1" applyBorder="1"/>
    <xf numFmtId="167" fontId="4" fillId="0" borderId="1" xfId="0" applyNumberFormat="1" applyFont="1" applyBorder="1"/>
    <xf numFmtId="167" fontId="5" fillId="0" borderId="1" xfId="0" applyNumberFormat="1" applyFont="1" applyBorder="1" applyAlignment="1">
      <alignment horizontal="center"/>
    </xf>
    <xf numFmtId="2" fontId="5" fillId="0" borderId="1" xfId="0" applyNumberFormat="1" applyFont="1" applyBorder="1" applyAlignment="1">
      <alignment horizontal="center"/>
    </xf>
    <xf numFmtId="2" fontId="7" fillId="0" borderId="1" xfId="0" applyNumberFormat="1" applyFont="1" applyBorder="1"/>
    <xf numFmtId="10" fontId="6" fillId="0" borderId="1" xfId="0" applyNumberFormat="1" applyFont="1" applyBorder="1"/>
    <xf numFmtId="168" fontId="6" fillId="0" borderId="1" xfId="0" applyNumberFormat="1" applyFont="1" applyBorder="1"/>
    <xf numFmtId="169" fontId="6" fillId="0" borderId="1" xfId="0" applyNumberFormat="1" applyFont="1" applyBorder="1"/>
    <xf numFmtId="0" fontId="8" fillId="2" borderId="0" xfId="0" applyFont="1" applyFill="1" applyAlignment="1">
      <alignment horizontal="center"/>
    </xf>
    <xf numFmtId="164" fontId="6" fillId="0" borderId="0" xfId="0" applyNumberFormat="1" applyFont="1"/>
    <xf numFmtId="166" fontId="0" fillId="0" borderId="0" xfId="0" applyNumberFormat="1"/>
    <xf numFmtId="0" fontId="9" fillId="0" borderId="0" xfId="0" applyFont="1"/>
    <xf numFmtId="0" fontId="8" fillId="2" borderId="0" xfId="0" applyFont="1" applyFill="1"/>
    <xf numFmtId="0" fontId="7"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2" fontId="0" fillId="0" borderId="0" xfId="0" applyNumberFormat="1"/>
  </cellXfs>
  <cellStyles count="1">
    <cellStyle name="Normal" xfId="0" builtinId="0"/>
  </cellStyles>
  <dxfs count="1">
    <dxf>
      <font>
        <b/>
        <color rgb="FFB23A0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Receita líquida e EBIT</a:t>
            </a:r>
          </a:p>
        </c:rich>
      </c:tx>
      <c:overlay val="0"/>
    </c:title>
    <c:autoTitleDeleted val="0"/>
    <c:plotArea>
      <c:layout/>
      <c:lineChart>
        <c:grouping val="standard"/>
        <c:varyColors val="0"/>
        <c:ser>
          <c:idx val="0"/>
          <c:order val="0"/>
          <c:tx>
            <c:v>Receita líquida</c:v>
          </c:tx>
          <c:spPr>
            <a:ln w="28575">
              <a:solidFill>
                <a:srgbClr val="2A78D6"/>
              </a:solidFill>
              <a:prstDash val="solid"/>
            </a:ln>
          </c:spPr>
          <c:marker>
            <c:symbol val="none"/>
          </c:marker>
          <c:cat>
            <c:strRef>
              <c:f>DRE!$C$4:$AF$4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DRE!$C$7:$AF$7</c:f>
              <c:numCache>
                <c:formatCode>#,##0.0;[Red]\-#,##0.0</c:formatCode>
                <c:ptCount val="30"/>
                <c:pt idx="0">
                  <c:v>4520.9920000000002</c:v>
                </c:pt>
                <c:pt idx="1">
                  <c:v>4923.116</c:v>
                </c:pt>
                <c:pt idx="2">
                  <c:v>5244.9049999999997</c:v>
                </c:pt>
                <c:pt idx="3">
                  <c:v>5467.4340000000002</c:v>
                </c:pt>
                <c:pt idx="4">
                  <c:v>5767.6909999999998</c:v>
                </c:pt>
                <c:pt idx="5">
                  <c:v>6148.2860000000001</c:v>
                </c:pt>
                <c:pt idx="6">
                  <c:v>6435.6369999999997</c:v>
                </c:pt>
                <c:pt idx="7">
                  <c:v>6644.442</c:v>
                </c:pt>
                <c:pt idx="8">
                  <c:v>7163.2820000000002</c:v>
                </c:pt>
                <c:pt idx="9">
                  <c:v>7341.777</c:v>
                </c:pt>
                <c:pt idx="10">
                  <c:v>7483.4669999999996</c:v>
                </c:pt>
                <c:pt idx="11">
                  <c:v>7709.3180000000002</c:v>
                </c:pt>
                <c:pt idx="12">
                  <c:v>7867.7669999999998</c:v>
                </c:pt>
                <c:pt idx="13">
                  <c:v>7970.1409999999996</c:v>
                </c:pt>
                <c:pt idx="14">
                  <c:v>7925.5889999999999</c:v>
                </c:pt>
                <c:pt idx="15">
                  <c:v>7852.0529999999999</c:v>
                </c:pt>
                <c:pt idx="16">
                  <c:v>8161.5029999999997</c:v>
                </c:pt>
                <c:pt idx="17">
                  <c:v>8187.3010000000004</c:v>
                </c:pt>
                <c:pt idx="18">
                  <c:v>8541.6679999999997</c:v>
                </c:pt>
                <c:pt idx="19">
                  <c:v>8832.8250000000007</c:v>
                </c:pt>
                <c:pt idx="20">
                  <c:v>9370.44</c:v>
                </c:pt>
                <c:pt idx="21">
                  <c:v>9559.31</c:v>
                </c:pt>
                <c:pt idx="22">
                  <c:v>9824.7029999999995</c:v>
                </c:pt>
                <c:pt idx="23">
                  <c:v>10246.513000000001</c:v>
                </c:pt>
                <c:pt idx="24">
                  <c:v>10542.800999999999</c:v>
                </c:pt>
                <c:pt idx="25">
                  <c:v>11079.165999999999</c:v>
                </c:pt>
                <c:pt idx="26">
                  <c:v>11510.307000000001</c:v>
                </c:pt>
                <c:pt idx="27">
                  <c:v>12050.762000000001</c:v>
                </c:pt>
                <c:pt idx="28">
                  <c:v>12249.757</c:v>
                </c:pt>
                <c:pt idx="29">
                  <c:v>12559.938</c:v>
                </c:pt>
              </c:numCache>
            </c:numRef>
          </c:val>
          <c:smooth val="0"/>
          <c:extLst>
            <c:ext xmlns:c16="http://schemas.microsoft.com/office/drawing/2014/chart" uri="{C3380CC4-5D6E-409C-BE32-E72D297353CC}">
              <c16:uniqueId val="{00000000-8823-4E47-BCE8-1E6BC88DB913}"/>
            </c:ext>
          </c:extLst>
        </c:ser>
        <c:ser>
          <c:idx val="1"/>
          <c:order val="1"/>
          <c:tx>
            <c:v>Lucro operacional (EBIT / LAJIR)</c:v>
          </c:tx>
          <c:spPr>
            <a:ln w="28575">
              <a:solidFill>
                <a:srgbClr val="EB6834"/>
              </a:solidFill>
              <a:prstDash val="solid"/>
            </a:ln>
          </c:spPr>
          <c:marker>
            <c:symbol val="none"/>
          </c:marker>
          <c:cat>
            <c:strRef>
              <c:f>DRE!$C$4:$AF$4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DRE!$C$14:$AF$14</c:f>
              <c:numCache>
                <c:formatCode>#,##0.0;[Red]\-#,##0.0</c:formatCode>
                <c:ptCount val="30"/>
                <c:pt idx="0">
                  <c:v>459.08400000000029</c:v>
                </c:pt>
                <c:pt idx="1">
                  <c:v>706.41899999999987</c:v>
                </c:pt>
                <c:pt idx="2">
                  <c:v>980.23899999999981</c:v>
                </c:pt>
                <c:pt idx="3">
                  <c:v>458.51199999999994</c:v>
                </c:pt>
                <c:pt idx="4">
                  <c:v>958.25599999999986</c:v>
                </c:pt>
                <c:pt idx="5">
                  <c:v>1357.9280000000003</c:v>
                </c:pt>
                <c:pt idx="6">
                  <c:v>1314.8629999999994</c:v>
                </c:pt>
                <c:pt idx="7">
                  <c:v>954.24200000000019</c:v>
                </c:pt>
                <c:pt idx="8">
                  <c:v>1959.8560000000002</c:v>
                </c:pt>
                <c:pt idx="9">
                  <c:v>1847.6300000000003</c:v>
                </c:pt>
                <c:pt idx="10">
                  <c:v>1755.2529999999997</c:v>
                </c:pt>
                <c:pt idx="11">
                  <c:v>631.77000000000044</c:v>
                </c:pt>
                <c:pt idx="12">
                  <c:v>1971.6260000000002</c:v>
                </c:pt>
                <c:pt idx="13">
                  <c:v>1578.2829999999994</c:v>
                </c:pt>
                <c:pt idx="14">
                  <c:v>1533.018</c:v>
                </c:pt>
                <c:pt idx="15">
                  <c:v>549.904</c:v>
                </c:pt>
                <c:pt idx="16">
                  <c:v>1714.3169999999998</c:v>
                </c:pt>
                <c:pt idx="17">
                  <c:v>1827.1830000000002</c:v>
                </c:pt>
                <c:pt idx="18">
                  <c:v>1916.3940000000002</c:v>
                </c:pt>
                <c:pt idx="19">
                  <c:v>1496.1090000000008</c:v>
                </c:pt>
                <c:pt idx="20">
                  <c:v>2632.5340000000001</c:v>
                </c:pt>
                <c:pt idx="21">
                  <c:v>2602.8369999999995</c:v>
                </c:pt>
                <c:pt idx="22">
                  <c:v>2909.4769999999994</c:v>
                </c:pt>
                <c:pt idx="23">
                  <c:v>2272.7660000000014</c:v>
                </c:pt>
                <c:pt idx="24">
                  <c:v>3346.9989999999998</c:v>
                </c:pt>
                <c:pt idx="25">
                  <c:v>3774.6939999999995</c:v>
                </c:pt>
                <c:pt idx="26">
                  <c:v>3248.2470000000008</c:v>
                </c:pt>
                <c:pt idx="27">
                  <c:v>2956.6630000000005</c:v>
                </c:pt>
                <c:pt idx="28">
                  <c:v>3956.9969999999994</c:v>
                </c:pt>
                <c:pt idx="29">
                  <c:v>4192.6100000000006</c:v>
                </c:pt>
              </c:numCache>
            </c:numRef>
          </c:val>
          <c:smooth val="0"/>
          <c:extLst>
            <c:ext xmlns:c16="http://schemas.microsoft.com/office/drawing/2014/chart" uri="{C3380CC4-5D6E-409C-BE32-E72D297353CC}">
              <c16:uniqueId val="{00000001-8823-4E47-BCE8-1E6BC88DB913}"/>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US$ milhões</a:t>
                </a:r>
              </a:p>
            </c:rich>
          </c:tx>
          <c:overlay val="0"/>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AH homóloga: crescimento da receita (t vs t−4)</a:t>
            </a:r>
          </a:p>
        </c:rich>
      </c:tx>
      <c:overlay val="0"/>
    </c:title>
    <c:autoTitleDeleted val="0"/>
    <c:plotArea>
      <c:layout/>
      <c:barChart>
        <c:barDir val="col"/>
        <c:grouping val="clustered"/>
        <c:varyColors val="0"/>
        <c:ser>
          <c:idx val="0"/>
          <c:order val="0"/>
          <c:tx>
            <c:v>Receita líquida</c:v>
          </c:tx>
          <c:spPr>
            <a:solidFill>
              <a:srgbClr val="2A78D6"/>
            </a:solidFill>
            <a:ln>
              <a:noFill/>
              <a:prstDash val="solid"/>
            </a:ln>
          </c:spPr>
          <c:invertIfNegative val="0"/>
          <c:cat>
            <c:strRef>
              <c:f>AH!$G$4:$AF$4</c:f>
              <c:strCache>
                <c:ptCount val="26"/>
                <c:pt idx="0">
                  <c:v>2020T1</c:v>
                </c:pt>
                <c:pt idx="1">
                  <c:v>2020T2</c:v>
                </c:pt>
                <c:pt idx="2">
                  <c:v>2020T3</c:v>
                </c:pt>
                <c:pt idx="3">
                  <c:v>2020T4</c:v>
                </c:pt>
                <c:pt idx="4">
                  <c:v>2021T1</c:v>
                </c:pt>
                <c:pt idx="5">
                  <c:v>2021T2</c:v>
                </c:pt>
                <c:pt idx="6">
                  <c:v>2021T3</c:v>
                </c:pt>
                <c:pt idx="7">
                  <c:v>2021T4</c:v>
                </c:pt>
                <c:pt idx="8">
                  <c:v>2022T1</c:v>
                </c:pt>
                <c:pt idx="9">
                  <c:v>2022T2</c:v>
                </c:pt>
                <c:pt idx="10">
                  <c:v>2022T3</c:v>
                </c:pt>
                <c:pt idx="11">
                  <c:v>2022T4</c:v>
                </c:pt>
                <c:pt idx="12">
                  <c:v>2023T1</c:v>
                </c:pt>
                <c:pt idx="13">
                  <c:v>2023T2</c:v>
                </c:pt>
                <c:pt idx="14">
                  <c:v>2023T3</c:v>
                </c:pt>
                <c:pt idx="15">
                  <c:v>2023T4</c:v>
                </c:pt>
                <c:pt idx="16">
                  <c:v>2024T1</c:v>
                </c:pt>
                <c:pt idx="17">
                  <c:v>2024T2</c:v>
                </c:pt>
                <c:pt idx="18">
                  <c:v>2024T3</c:v>
                </c:pt>
                <c:pt idx="19">
                  <c:v>2024T4</c:v>
                </c:pt>
                <c:pt idx="20">
                  <c:v>2025T1</c:v>
                </c:pt>
                <c:pt idx="21">
                  <c:v>2025T2</c:v>
                </c:pt>
                <c:pt idx="22">
                  <c:v>2025T3</c:v>
                </c:pt>
                <c:pt idx="23">
                  <c:v>2025T4</c:v>
                </c:pt>
                <c:pt idx="24">
                  <c:v>2026T1</c:v>
                </c:pt>
                <c:pt idx="25">
                  <c:v>2026T2</c:v>
                </c:pt>
              </c:strCache>
            </c:strRef>
          </c:cat>
          <c:val>
            <c:numRef>
              <c:f>AH!$G$7:$AF$7</c:f>
              <c:numCache>
                <c:formatCode>0.0%;[Red]\-0.0%</c:formatCode>
                <c:ptCount val="26"/>
                <c:pt idx="0">
                  <c:v>0.27575784252659585</c:v>
                </c:pt>
                <c:pt idx="1">
                  <c:v>0.24886068091834523</c:v>
                </c:pt>
                <c:pt idx="2">
                  <c:v>0.22702641897231696</c:v>
                </c:pt>
                <c:pt idx="3">
                  <c:v>0.21527612404649049</c:v>
                </c:pt>
                <c:pt idx="4">
                  <c:v>0.2419670193843603</c:v>
                </c:pt>
                <c:pt idx="5">
                  <c:v>0.19411767767472105</c:v>
                </c:pt>
                <c:pt idx="6">
                  <c:v>0.16281682761162569</c:v>
                </c:pt>
                <c:pt idx="7">
                  <c:v>0.16026567768971423</c:v>
                </c:pt>
                <c:pt idx="8">
                  <c:v>9.8346679636512932E-2</c:v>
                </c:pt>
                <c:pt idx="9">
                  <c:v>8.5587453827595084E-2</c:v>
                </c:pt>
                <c:pt idx="10">
                  <c:v>5.90798355895737E-2</c:v>
                </c:pt>
                <c:pt idx="11">
                  <c:v>1.8514607906950999E-2</c:v>
                </c:pt>
                <c:pt idx="12">
                  <c:v>3.7334100005757653E-2</c:v>
                </c:pt>
                <c:pt idx="13">
                  <c:v>2.7246694882813338E-2</c:v>
                </c:pt>
                <c:pt idx="14">
                  <c:v>7.7732897832577461E-2</c:v>
                </c:pt>
                <c:pt idx="15">
                  <c:v>0.12490644166563838</c:v>
                </c:pt>
                <c:pt idx="16">
                  <c:v>0.14812676047536844</c:v>
                </c:pt>
                <c:pt idx="17">
                  <c:v>0.16757769135396378</c:v>
                </c:pt>
                <c:pt idx="18">
                  <c:v>0.15020895216250502</c:v>
                </c:pt>
                <c:pt idx="19">
                  <c:v>0.16004936133117095</c:v>
                </c:pt>
                <c:pt idx="20">
                  <c:v>0.12511269481475779</c:v>
                </c:pt>
                <c:pt idx="21">
                  <c:v>0.15899222851858552</c:v>
                </c:pt>
                <c:pt idx="22">
                  <c:v>0.17156793442000245</c:v>
                </c:pt>
                <c:pt idx="23">
                  <c:v>0.17608419566734554</c:v>
                </c:pt>
                <c:pt idx="24">
                  <c:v>0.16190725785301271</c:v>
                </c:pt>
                <c:pt idx="25">
                  <c:v>0.13365374252899551</c:v>
                </c:pt>
              </c:numCache>
            </c:numRef>
          </c:val>
          <c:extLst>
            <c:ext xmlns:c16="http://schemas.microsoft.com/office/drawing/2014/chart" uri="{C3380CC4-5D6E-409C-BE32-E72D297353CC}">
              <c16:uniqueId val="{00000000-60F7-445C-8642-3DDA70D89709}"/>
            </c:ext>
          </c:extLst>
        </c:ser>
        <c:dLbls>
          <c:showLegendKey val="0"/>
          <c:showVal val="0"/>
          <c:showCatName val="0"/>
          <c:showSerName val="0"/>
          <c:showPercent val="0"/>
          <c:showBubbleSize val="0"/>
        </c:dLbls>
        <c:gapWidth val="60"/>
        <c:axId val="10"/>
        <c:axId val="100"/>
      </c:bar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Variação %</a:t>
                </a:r>
              </a:p>
            </c:rich>
          </c:tx>
          <c:overlay val="0"/>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Margens trimestrais (AV)</a:t>
            </a:r>
          </a:p>
        </c:rich>
      </c:tx>
      <c:overlay val="0"/>
    </c:title>
    <c:autoTitleDeleted val="0"/>
    <c:plotArea>
      <c:layout/>
      <c:lineChart>
        <c:grouping val="standard"/>
        <c:varyColors val="0"/>
        <c:ser>
          <c:idx val="0"/>
          <c:order val="0"/>
          <c:tx>
            <c:v>Margem bruta</c:v>
          </c:tx>
          <c:spPr>
            <a:ln w="28575">
              <a:solidFill>
                <a:srgbClr val="2A78D6"/>
              </a:solidFill>
              <a:prstDash val="solid"/>
            </a:ln>
          </c:spPr>
          <c:marker>
            <c:symbol val="none"/>
          </c:marker>
          <c:cat>
            <c:strRef>
              <c:f>Indicadores!$C$4:$AF$4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Indicadores!$C$7:$AF$7</c:f>
              <c:numCache>
                <c:formatCode>0.0%;[Red]\-0.0%</c:formatCode>
                <c:ptCount val="30"/>
                <c:pt idx="0">
                  <c:v>0.3650477594297889</c:v>
                </c:pt>
                <c:pt idx="1">
                  <c:v>0.38948076787140501</c:v>
                </c:pt>
                <c:pt idx="2">
                  <c:v>0.40934697577935159</c:v>
                </c:pt>
                <c:pt idx="3">
                  <c:v>0.36606038591412354</c:v>
                </c:pt>
                <c:pt idx="4">
                  <c:v>0.37588525460188488</c:v>
                </c:pt>
                <c:pt idx="5">
                  <c:v>0.40736214938602405</c:v>
                </c:pt>
                <c:pt idx="6">
                  <c:v>0.39901038545213158</c:v>
                </c:pt>
                <c:pt idx="7">
                  <c:v>0.37313622423071796</c:v>
                </c:pt>
                <c:pt idx="8">
                  <c:v>0.45995271441219265</c:v>
                </c:pt>
                <c:pt idx="9">
                  <c:v>0.45271996139354276</c:v>
                </c:pt>
                <c:pt idx="10">
                  <c:v>0.43788233448480496</c:v>
                </c:pt>
                <c:pt idx="11">
                  <c:v>0.32035816916619608</c:v>
                </c:pt>
                <c:pt idx="12">
                  <c:v>0.45541028350229484</c:v>
                </c:pt>
                <c:pt idx="13">
                  <c:v>0.41145896917005603</c:v>
                </c:pt>
                <c:pt idx="14">
                  <c:v>0.39579695591078468</c:v>
                </c:pt>
                <c:pt idx="15">
                  <c:v>0.3117519711087024</c:v>
                </c:pt>
                <c:pt idx="16">
                  <c:v>0.41142887529417066</c:v>
                </c:pt>
                <c:pt idx="17">
                  <c:v>0.42918062985591954</c:v>
                </c:pt>
                <c:pt idx="18">
                  <c:v>0.42273710474347637</c:v>
                </c:pt>
                <c:pt idx="19">
                  <c:v>0.39911806245453757</c:v>
                </c:pt>
                <c:pt idx="20">
                  <c:v>0.46885386385271127</c:v>
                </c:pt>
                <c:pt idx="21">
                  <c:v>0.45873258634775937</c:v>
                </c:pt>
                <c:pt idx="22">
                  <c:v>0.47887646069301021</c:v>
                </c:pt>
                <c:pt idx="23">
                  <c:v>0.43713885884885922</c:v>
                </c:pt>
                <c:pt idx="24">
                  <c:v>0.50078285647239285</c:v>
                </c:pt>
                <c:pt idx="25">
                  <c:v>0.51934008390162223</c:v>
                </c:pt>
                <c:pt idx="26">
                  <c:v>0.4644582459877048</c:v>
                </c:pt>
                <c:pt idx="27">
                  <c:v>0.4587378789822586</c:v>
                </c:pt>
                <c:pt idx="28">
                  <c:v>0.51931797504228039</c:v>
                </c:pt>
                <c:pt idx="29">
                  <c:v>0.51934754773471015</c:v>
                </c:pt>
              </c:numCache>
            </c:numRef>
          </c:val>
          <c:smooth val="0"/>
          <c:extLst>
            <c:ext xmlns:c16="http://schemas.microsoft.com/office/drawing/2014/chart" uri="{C3380CC4-5D6E-409C-BE32-E72D297353CC}">
              <c16:uniqueId val="{00000000-1539-49BE-9F7C-34AF98E75372}"/>
            </c:ext>
          </c:extLst>
        </c:ser>
        <c:ser>
          <c:idx val="1"/>
          <c:order val="1"/>
          <c:tx>
            <c:v>Margem EBIT (operacional)</c:v>
          </c:tx>
          <c:spPr>
            <a:ln w="28575">
              <a:solidFill>
                <a:srgbClr val="EB6834"/>
              </a:solidFill>
              <a:prstDash val="solid"/>
            </a:ln>
          </c:spPr>
          <c:marker>
            <c:symbol val="none"/>
          </c:marker>
          <c:cat>
            <c:strRef>
              <c:f>Indicadores!$C$4:$AF$4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Indicadores!$C$8:$AF$8</c:f>
              <c:numCache>
                <c:formatCode>0.0%;[Red]\-0.0%</c:formatCode>
                <c:ptCount val="30"/>
                <c:pt idx="0">
                  <c:v>0.10154497066130624</c:v>
                </c:pt>
                <c:pt idx="1">
                  <c:v>0.14349022042137538</c:v>
                </c:pt>
                <c:pt idx="2">
                  <c:v>0.18689356623237216</c:v>
                </c:pt>
                <c:pt idx="3">
                  <c:v>8.3862374927616848E-2</c:v>
                </c:pt>
                <c:pt idx="4">
                  <c:v>0.1661420488718969</c:v>
                </c:pt>
                <c:pt idx="5">
                  <c:v>0.22086285511116438</c:v>
                </c:pt>
                <c:pt idx="6">
                  <c:v>0.20430968993434517</c:v>
                </c:pt>
                <c:pt idx="7">
                  <c:v>0.14361506955738348</c:v>
                </c:pt>
                <c:pt idx="8">
                  <c:v>0.27359749343945977</c:v>
                </c:pt>
                <c:pt idx="9">
                  <c:v>0.25165978209362672</c:v>
                </c:pt>
                <c:pt idx="10">
                  <c:v>0.23455077706629826</c:v>
                </c:pt>
                <c:pt idx="11">
                  <c:v>8.1948883156720276E-2</c:v>
                </c:pt>
                <c:pt idx="12">
                  <c:v>0.25059537223204503</c:v>
                </c:pt>
                <c:pt idx="13">
                  <c:v>0.19802447660587177</c:v>
                </c:pt>
                <c:pt idx="14">
                  <c:v>0.19342638130743342</c:v>
                </c:pt>
                <c:pt idx="15">
                  <c:v>7.0033149292293373E-2</c:v>
                </c:pt>
                <c:pt idx="16">
                  <c:v>0.21004917844176493</c:v>
                </c:pt>
                <c:pt idx="17">
                  <c:v>0.2231728136048742</c:v>
                </c:pt>
                <c:pt idx="18">
                  <c:v>0.22435828692943818</c:v>
                </c:pt>
                <c:pt idx="19">
                  <c:v>0.16938057756153899</c:v>
                </c:pt>
                <c:pt idx="20">
                  <c:v>0.28094027601692129</c:v>
                </c:pt>
                <c:pt idx="21">
                  <c:v>0.27228293673915793</c:v>
                </c:pt>
                <c:pt idx="22">
                  <c:v>0.29613892654057833</c:v>
                </c:pt>
                <c:pt idx="23">
                  <c:v>0.22180872653945799</c:v>
                </c:pt>
                <c:pt idx="24">
                  <c:v>0.31746772039043514</c:v>
                </c:pt>
                <c:pt idx="25">
                  <c:v>0.34070199868834888</c:v>
                </c:pt>
                <c:pt idx="26">
                  <c:v>0.28220333306487833</c:v>
                </c:pt>
                <c:pt idx="27">
                  <c:v>0.24535070894272082</c:v>
                </c:pt>
                <c:pt idx="28">
                  <c:v>0.32302657105769522</c:v>
                </c:pt>
                <c:pt idx="29">
                  <c:v>0.33380817644163535</c:v>
                </c:pt>
              </c:numCache>
            </c:numRef>
          </c:val>
          <c:smooth val="0"/>
          <c:extLst>
            <c:ext xmlns:c16="http://schemas.microsoft.com/office/drawing/2014/chart" uri="{C3380CC4-5D6E-409C-BE32-E72D297353CC}">
              <c16:uniqueId val="{00000001-1539-49BE-9F7C-34AF98E75372}"/>
            </c:ext>
          </c:extLst>
        </c:ser>
        <c:ser>
          <c:idx val="2"/>
          <c:order val="2"/>
          <c:tx>
            <c:v>Margem líquida</c:v>
          </c:tx>
          <c:spPr>
            <a:ln w="28575">
              <a:solidFill>
                <a:srgbClr val="1BAF7A"/>
              </a:solidFill>
              <a:prstDash val="solid"/>
            </a:ln>
          </c:spPr>
          <c:marker>
            <c:symbol val="none"/>
          </c:marker>
          <c:cat>
            <c:strRef>
              <c:f>Indicadores!$C$4:$AF$4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Indicadores!$C$10:$AF$10</c:f>
              <c:numCache>
                <c:formatCode>0.0%;[Red]\-0.0%</c:formatCode>
                <c:ptCount val="30"/>
                <c:pt idx="0">
                  <c:v>7.6100997303246778E-2</c:v>
                </c:pt>
                <c:pt idx="1">
                  <c:v>5.497534488319996E-2</c:v>
                </c:pt>
                <c:pt idx="2">
                  <c:v>0.12683623440272035</c:v>
                </c:pt>
                <c:pt idx="3">
                  <c:v>0.10735749164964771</c:v>
                </c:pt>
                <c:pt idx="4">
                  <c:v>0.12293775793467436</c:v>
                </c:pt>
                <c:pt idx="5">
                  <c:v>0.11713768682849177</c:v>
                </c:pt>
                <c:pt idx="6">
                  <c:v>0.12275024212832379</c:v>
                </c:pt>
                <c:pt idx="7">
                  <c:v>8.1595414633764601E-2</c:v>
                </c:pt>
                <c:pt idx="8">
                  <c:v>0.23825880371595032</c:v>
                </c:pt>
                <c:pt idx="9">
                  <c:v>0.18428958002946702</c:v>
                </c:pt>
                <c:pt idx="10">
                  <c:v>0.19363631856731642</c:v>
                </c:pt>
                <c:pt idx="11">
                  <c:v>7.8791535126712969E-2</c:v>
                </c:pt>
                <c:pt idx="12">
                  <c:v>0.20303689725432897</c:v>
                </c:pt>
                <c:pt idx="13">
                  <c:v>0.18079366475448799</c:v>
                </c:pt>
                <c:pt idx="14">
                  <c:v>0.17642120983058798</c:v>
                </c:pt>
                <c:pt idx="15">
                  <c:v>7.0407064241670321E-3</c:v>
                </c:pt>
                <c:pt idx="16">
                  <c:v>0.15991172214235538</c:v>
                </c:pt>
                <c:pt idx="17">
                  <c:v>0.1816972406413298</c:v>
                </c:pt>
                <c:pt idx="18">
                  <c:v>0.19638108154051415</c:v>
                </c:pt>
                <c:pt idx="19">
                  <c:v>0.10617644977682686</c:v>
                </c:pt>
                <c:pt idx="20">
                  <c:v>0.24889002010577946</c:v>
                </c:pt>
                <c:pt idx="21">
                  <c:v>0.22462981114745725</c:v>
                </c:pt>
                <c:pt idx="22">
                  <c:v>0.24056798459963616</c:v>
                </c:pt>
                <c:pt idx="23">
                  <c:v>0.18236516168964029</c:v>
                </c:pt>
                <c:pt idx="24">
                  <c:v>0.27415399380107808</c:v>
                </c:pt>
                <c:pt idx="25">
                  <c:v>0.28209821930639906</c:v>
                </c:pt>
                <c:pt idx="26">
                  <c:v>0.22127263851433332</c:v>
                </c:pt>
                <c:pt idx="27">
                  <c:v>0.20069444571222969</c:v>
                </c:pt>
                <c:pt idx="28">
                  <c:v>0.43125679962467822</c:v>
                </c:pt>
                <c:pt idx="29">
                  <c:v>0.27081455338394189</c:v>
                </c:pt>
              </c:numCache>
            </c:numRef>
          </c:val>
          <c:smooth val="0"/>
          <c:extLst>
            <c:ext xmlns:c16="http://schemas.microsoft.com/office/drawing/2014/chart" uri="{C3380CC4-5D6E-409C-BE32-E72D297353CC}">
              <c16:uniqueId val="{00000002-1539-49BE-9F7C-34AF98E75372}"/>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 da receita</a:t>
                </a:r>
              </a:p>
            </c:rich>
          </c:tx>
          <c:overlay val="0"/>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Conteúdo: pagamentos em caixa x amortização na DRE</a:t>
            </a:r>
          </a:p>
        </c:rich>
      </c:tx>
      <c:overlay val="0"/>
    </c:title>
    <c:autoTitleDeleted val="0"/>
    <c:plotArea>
      <c:layout/>
      <c:lineChart>
        <c:grouping val="standard"/>
        <c:varyColors val="0"/>
        <c:ser>
          <c:idx val="0"/>
          <c:order val="0"/>
          <c:tx>
            <c:v>Pagamentos de conteúdo (caixa)</c:v>
          </c:tx>
          <c:spPr>
            <a:ln w="28575">
              <a:solidFill>
                <a:srgbClr val="2A78D6"/>
              </a:solidFill>
              <a:prstDash val="solid"/>
            </a:ln>
          </c:spPr>
          <c:marker>
            <c:symbol val="none"/>
          </c:marker>
          <c:cat>
            <c:strRef>
              <c:f>DFC!$C$4:$AF$4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DFC!$C$15:$AF$15</c:f>
              <c:numCache>
                <c:formatCode>#,##0.0;[Red]\-#,##0.0</c:formatCode>
                <c:ptCount val="30"/>
                <c:pt idx="0">
                  <c:v>2997.7460000000001</c:v>
                </c:pt>
                <c:pt idx="1">
                  <c:v>3325.1030000000001</c:v>
                </c:pt>
                <c:pt idx="2">
                  <c:v>3648.2919999999999</c:v>
                </c:pt>
                <c:pt idx="3">
                  <c:v>3945.5419999999999</c:v>
                </c:pt>
                <c:pt idx="4">
                  <c:v>3294.2750000000001</c:v>
                </c:pt>
                <c:pt idx="5">
                  <c:v>2510.7820000000002</c:v>
                </c:pt>
                <c:pt idx="6">
                  <c:v>2653.886</c:v>
                </c:pt>
                <c:pt idx="7">
                  <c:v>3320.3409999999999</c:v>
                </c:pt>
                <c:pt idx="8">
                  <c:v>3284.576</c:v>
                </c:pt>
                <c:pt idx="9">
                  <c:v>4096.75</c:v>
                </c:pt>
                <c:pt idx="10">
                  <c:v>4666.2370000000001</c:v>
                </c:pt>
                <c:pt idx="11">
                  <c:v>5654.6390000000001</c:v>
                </c:pt>
                <c:pt idx="12">
                  <c:v>3584.1640000000002</c:v>
                </c:pt>
                <c:pt idx="13">
                  <c:v>4687.0110000000004</c:v>
                </c:pt>
                <c:pt idx="14">
                  <c:v>4582.6710000000003</c:v>
                </c:pt>
                <c:pt idx="15">
                  <c:v>3985.192</c:v>
                </c:pt>
                <c:pt idx="16">
                  <c:v>2458.6660000000002</c:v>
                </c:pt>
                <c:pt idx="17">
                  <c:v>3683.0070000000001</c:v>
                </c:pt>
                <c:pt idx="18">
                  <c:v>2883.8389999999999</c:v>
                </c:pt>
                <c:pt idx="19">
                  <c:v>3529.1909999999998</c:v>
                </c:pt>
                <c:pt idx="20">
                  <c:v>3728.9670000000001</c:v>
                </c:pt>
                <c:pt idx="21">
                  <c:v>4048.8519999999999</c:v>
                </c:pt>
                <c:pt idx="22">
                  <c:v>4016.3960000000002</c:v>
                </c:pt>
                <c:pt idx="23">
                  <c:v>4429.402</c:v>
                </c:pt>
                <c:pt idx="24">
                  <c:v>3549.6570000000002</c:v>
                </c:pt>
                <c:pt idx="25">
                  <c:v>3835.8130000000001</c:v>
                </c:pt>
                <c:pt idx="26">
                  <c:v>4653.9350000000004</c:v>
                </c:pt>
                <c:pt idx="27">
                  <c:v>5057.2120000000004</c:v>
                </c:pt>
                <c:pt idx="28">
                  <c:v>4846.9170000000004</c:v>
                </c:pt>
                <c:pt idx="29">
                  <c:v>4927.5230000000001</c:v>
                </c:pt>
              </c:numCache>
            </c:numRef>
          </c:val>
          <c:smooth val="0"/>
          <c:extLst>
            <c:ext xmlns:c16="http://schemas.microsoft.com/office/drawing/2014/chart" uri="{C3380CC4-5D6E-409C-BE32-E72D297353CC}">
              <c16:uniqueId val="{00000000-6EBD-42EA-BAAD-49656A43406E}"/>
            </c:ext>
          </c:extLst>
        </c:ser>
        <c:ser>
          <c:idx val="1"/>
          <c:order val="1"/>
          <c:tx>
            <c:v>Amortização de conteúdo (DRE)</c:v>
          </c:tx>
          <c:spPr>
            <a:ln w="28575">
              <a:solidFill>
                <a:srgbClr val="EB6834"/>
              </a:solidFill>
              <a:prstDash val="solid"/>
            </a:ln>
          </c:spPr>
          <c:marker>
            <c:symbol val="none"/>
          </c:marker>
          <c:cat>
            <c:strRef>
              <c:f>DFC!$C$4:$AF$4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DFC!$C$16:$AF$16</c:f>
              <c:numCache>
                <c:formatCode>#,##0.0;[Red]\-#,##0.0</c:formatCode>
                <c:ptCount val="30"/>
                <c:pt idx="0">
                  <c:v>2124.6860000000001</c:v>
                </c:pt>
                <c:pt idx="1">
                  <c:v>2231.915</c:v>
                </c:pt>
                <c:pt idx="2">
                  <c:v>2279.9769999999999</c:v>
                </c:pt>
                <c:pt idx="3">
                  <c:v>2579.6689999999999</c:v>
                </c:pt>
                <c:pt idx="4">
                  <c:v>2483.3850000000002</c:v>
                </c:pt>
                <c:pt idx="5">
                  <c:v>2607.1590000000001</c:v>
                </c:pt>
                <c:pt idx="6">
                  <c:v>2733.7429999999999</c:v>
                </c:pt>
                <c:pt idx="7">
                  <c:v>2982.625</c:v>
                </c:pt>
                <c:pt idx="8">
                  <c:v>2719.1959999999999</c:v>
                </c:pt>
                <c:pt idx="9">
                  <c:v>2806.8029999999999</c:v>
                </c:pt>
                <c:pt idx="10">
                  <c:v>2963.0509999999999</c:v>
                </c:pt>
                <c:pt idx="11">
                  <c:v>3741.317</c:v>
                </c:pt>
                <c:pt idx="12">
                  <c:v>3166.3649999999998</c:v>
                </c:pt>
                <c:pt idx="13">
                  <c:v>3261.348</c:v>
                </c:pt>
                <c:pt idx="14">
                  <c:v>3653.5920000000001</c:v>
                </c:pt>
                <c:pt idx="15">
                  <c:v>3944.8270000000002</c:v>
                </c:pt>
                <c:pt idx="16">
                  <c:v>3459.9839999999999</c:v>
                </c:pt>
                <c:pt idx="17">
                  <c:v>3410.0210000000002</c:v>
                </c:pt>
                <c:pt idx="18">
                  <c:v>3573.3530000000001</c:v>
                </c:pt>
                <c:pt idx="19">
                  <c:v>3754.0790000000002</c:v>
                </c:pt>
                <c:pt idx="20">
                  <c:v>3670.8049999999998</c:v>
                </c:pt>
                <c:pt idx="21">
                  <c:v>3769.69</c:v>
                </c:pt>
                <c:pt idx="22">
                  <c:v>3699.5210000000002</c:v>
                </c:pt>
                <c:pt idx="23">
                  <c:v>4161.5010000000002</c:v>
                </c:pt>
                <c:pt idx="24">
                  <c:v>3823.1120000000001</c:v>
                </c:pt>
                <c:pt idx="25">
                  <c:v>3832.0740000000001</c:v>
                </c:pt>
                <c:pt idx="26">
                  <c:v>4002.7440000000001</c:v>
                </c:pt>
                <c:pt idx="27">
                  <c:v>4764.2359999999999</c:v>
                </c:pt>
                <c:pt idx="28">
                  <c:v>4217.8999999999996</c:v>
                </c:pt>
                <c:pt idx="29">
                  <c:v>4311.3090000000002</c:v>
                </c:pt>
              </c:numCache>
            </c:numRef>
          </c:val>
          <c:smooth val="0"/>
          <c:extLst>
            <c:ext xmlns:c16="http://schemas.microsoft.com/office/drawing/2014/chart" uri="{C3380CC4-5D6E-409C-BE32-E72D297353CC}">
              <c16:uniqueId val="{00000001-6EBD-42EA-BAAD-49656A43406E}"/>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US$ milhões</a:t>
                </a:r>
              </a:p>
            </c:rich>
          </c:tx>
          <c:overlay val="0"/>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Fluxo de caixa livre (FCO − Capex)</a:t>
            </a:r>
          </a:p>
        </c:rich>
      </c:tx>
      <c:overlay val="0"/>
    </c:title>
    <c:autoTitleDeleted val="0"/>
    <c:plotArea>
      <c:layout/>
      <c:barChart>
        <c:barDir val="col"/>
        <c:grouping val="clustered"/>
        <c:varyColors val="0"/>
        <c:ser>
          <c:idx val="0"/>
          <c:order val="0"/>
          <c:tx>
            <c:v>Fluxo de caixa livre simplificado</c:v>
          </c:tx>
          <c:spPr>
            <a:solidFill>
              <a:srgbClr val="2A78D6"/>
            </a:solidFill>
            <a:ln>
              <a:noFill/>
              <a:prstDash val="solid"/>
            </a:ln>
          </c:spPr>
          <c:invertIfNegative val="0"/>
          <c:cat>
            <c:strRef>
              <c:f>DFC!$C$4:$AF$4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DFC!$C$9:$AF$9</c:f>
              <c:numCache>
                <c:formatCode>#,##0.0;[Red]\-#,##0.0</c:formatCode>
                <c:ptCount val="30"/>
                <c:pt idx="0">
                  <c:v>-440.17999999999995</c:v>
                </c:pt>
                <c:pt idx="1">
                  <c:v>-583.33799999999997</c:v>
                </c:pt>
                <c:pt idx="2">
                  <c:v>-547.12699999999995</c:v>
                </c:pt>
                <c:pt idx="3">
                  <c:v>-1569.712</c:v>
                </c:pt>
                <c:pt idx="4">
                  <c:v>161.89699999999999</c:v>
                </c:pt>
                <c:pt idx="5">
                  <c:v>899.33500000000004</c:v>
                </c:pt>
                <c:pt idx="6">
                  <c:v>1153.95</c:v>
                </c:pt>
                <c:pt idx="7">
                  <c:v>-286.02800000000002</c:v>
                </c:pt>
                <c:pt idx="8">
                  <c:v>696.26499999999999</c:v>
                </c:pt>
                <c:pt idx="9">
                  <c:v>-174.03900000000002</c:v>
                </c:pt>
                <c:pt idx="10">
                  <c:v>-84.947999999999993</c:v>
                </c:pt>
                <c:pt idx="11">
                  <c:v>-569.25300000000004</c:v>
                </c:pt>
                <c:pt idx="12">
                  <c:v>801.68100000000004</c:v>
                </c:pt>
                <c:pt idx="13">
                  <c:v>12.731999999999999</c:v>
                </c:pt>
                <c:pt idx="14">
                  <c:v>471.84999999999997</c:v>
                </c:pt>
                <c:pt idx="15">
                  <c:v>332.26499999999999</c:v>
                </c:pt>
                <c:pt idx="16">
                  <c:v>2116.721</c:v>
                </c:pt>
                <c:pt idx="17">
                  <c:v>1339.26</c:v>
                </c:pt>
                <c:pt idx="18">
                  <c:v>1888.386</c:v>
                </c:pt>
                <c:pt idx="19">
                  <c:v>1581.3819999999998</c:v>
                </c:pt>
                <c:pt idx="20">
                  <c:v>2136.808</c:v>
                </c:pt>
                <c:pt idx="21">
                  <c:v>1212.56</c:v>
                </c:pt>
                <c:pt idx="22">
                  <c:v>2194.2380000000003</c:v>
                </c:pt>
                <c:pt idx="23">
                  <c:v>1378.22</c:v>
                </c:pt>
                <c:pt idx="24">
                  <c:v>2660.922</c:v>
                </c:pt>
                <c:pt idx="25">
                  <c:v>2267.3689999999997</c:v>
                </c:pt>
                <c:pt idx="26">
                  <c:v>2660.4549999999999</c:v>
                </c:pt>
                <c:pt idx="27">
                  <c:v>1872.3069999999998</c:v>
                </c:pt>
                <c:pt idx="28">
                  <c:v>5094.0749999999998</c:v>
                </c:pt>
                <c:pt idx="29">
                  <c:v>1525.1679999999999</c:v>
                </c:pt>
              </c:numCache>
            </c:numRef>
          </c:val>
          <c:extLst>
            <c:ext xmlns:c16="http://schemas.microsoft.com/office/drawing/2014/chart" uri="{C3380CC4-5D6E-409C-BE32-E72D297353CC}">
              <c16:uniqueId val="{00000000-40D8-4E4C-83C4-46FB9E55A06C}"/>
            </c:ext>
          </c:extLst>
        </c:ser>
        <c:dLbls>
          <c:showLegendKey val="0"/>
          <c:showVal val="0"/>
          <c:showCatName val="0"/>
          <c:showSerName val="0"/>
          <c:showPercent val="0"/>
          <c:showBubbleSize val="0"/>
        </c:dLbls>
        <c:gapWidth val="60"/>
        <c:axId val="10"/>
        <c:axId val="100"/>
      </c:bar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US$ milhões</a:t>
                </a:r>
              </a:p>
            </c:rich>
          </c:tx>
          <c:overlay val="0"/>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Dívida líquida / EBITDA LTM</a:t>
            </a:r>
          </a:p>
        </c:rich>
      </c:tx>
      <c:overlay val="0"/>
    </c:title>
    <c:autoTitleDeleted val="0"/>
    <c:plotArea>
      <c:layout/>
      <c:lineChart>
        <c:grouping val="standard"/>
        <c:varyColors val="0"/>
        <c:ser>
          <c:idx val="0"/>
          <c:order val="0"/>
          <c:tx>
            <c:v>Dívida líquida / EBITDA LTM</c:v>
          </c:tx>
          <c:spPr>
            <a:ln w="28575">
              <a:solidFill>
                <a:srgbClr val="2A78D6"/>
              </a:solidFill>
              <a:prstDash val="solid"/>
            </a:ln>
          </c:spPr>
          <c:marker>
            <c:symbol val="none"/>
          </c:marker>
          <c:cat>
            <c:strRef>
              <c:f>Indicadores!$F$4:$AF$4</c:f>
              <c:strCache>
                <c:ptCount val="27"/>
                <c:pt idx="0">
                  <c:v>2019T4</c:v>
                </c:pt>
                <c:pt idx="1">
                  <c:v>2020T1</c:v>
                </c:pt>
                <c:pt idx="2">
                  <c:v>2020T2</c:v>
                </c:pt>
                <c:pt idx="3">
                  <c:v>2020T3</c:v>
                </c:pt>
                <c:pt idx="4">
                  <c:v>2020T4</c:v>
                </c:pt>
                <c:pt idx="5">
                  <c:v>2021T1</c:v>
                </c:pt>
                <c:pt idx="6">
                  <c:v>2021T2</c:v>
                </c:pt>
                <c:pt idx="7">
                  <c:v>2021T3</c:v>
                </c:pt>
                <c:pt idx="8">
                  <c:v>2021T4</c:v>
                </c:pt>
                <c:pt idx="9">
                  <c:v>2022T1</c:v>
                </c:pt>
                <c:pt idx="10">
                  <c:v>2022T2</c:v>
                </c:pt>
                <c:pt idx="11">
                  <c:v>2022T3</c:v>
                </c:pt>
                <c:pt idx="12">
                  <c:v>2022T4</c:v>
                </c:pt>
                <c:pt idx="13">
                  <c:v>2023T1</c:v>
                </c:pt>
                <c:pt idx="14">
                  <c:v>2023T2</c:v>
                </c:pt>
                <c:pt idx="15">
                  <c:v>2023T3</c:v>
                </c:pt>
                <c:pt idx="16">
                  <c:v>2023T4</c:v>
                </c:pt>
                <c:pt idx="17">
                  <c:v>2024T1</c:v>
                </c:pt>
                <c:pt idx="18">
                  <c:v>2024T2</c:v>
                </c:pt>
                <c:pt idx="19">
                  <c:v>2024T3</c:v>
                </c:pt>
                <c:pt idx="20">
                  <c:v>2024T4</c:v>
                </c:pt>
                <c:pt idx="21">
                  <c:v>2025T1</c:v>
                </c:pt>
                <c:pt idx="22">
                  <c:v>2025T2</c:v>
                </c:pt>
                <c:pt idx="23">
                  <c:v>2025T3</c:v>
                </c:pt>
                <c:pt idx="24">
                  <c:v>2025T4</c:v>
                </c:pt>
                <c:pt idx="25">
                  <c:v>2026T1</c:v>
                </c:pt>
                <c:pt idx="26">
                  <c:v>2026T2</c:v>
                </c:pt>
              </c:strCache>
            </c:strRef>
          </c:cat>
          <c:val>
            <c:numRef>
              <c:f>Indicadores!$F$48:$AF$48</c:f>
              <c:numCache>
                <c:formatCode>0.00"x"</c:formatCode>
                <c:ptCount val="27"/>
                <c:pt idx="0">
                  <c:v>3.5971801067495672</c:v>
                </c:pt>
                <c:pt idx="1">
                  <c:v>2.9632389683436382</c:v>
                </c:pt>
                <c:pt idx="2">
                  <c:v>2.2358515099097329</c:v>
                </c:pt>
                <c:pt idx="3">
                  <c:v>1.8221762929335441</c:v>
                </c:pt>
                <c:pt idx="4">
                  <c:v>1.7237661611925468</c:v>
                </c:pt>
                <c:pt idx="5">
                  <c:v>1.2532519834677887</c:v>
                </c:pt>
                <c:pt idx="6">
                  <c:v>1.2635618191237965</c:v>
                </c:pt>
                <c:pt idx="7">
                  <c:v>1.1901376171460878</c:v>
                </c:pt>
                <c:pt idx="8">
                  <c:v>1.462627916227609</c:v>
                </c:pt>
                <c:pt idx="9">
                  <c:v>1.3210732632200064</c:v>
                </c:pt>
                <c:pt idx="10">
                  <c:v>1.3506953296017064</c:v>
                </c:pt>
                <c:pt idx="11">
                  <c:v>1.2910021561029137</c:v>
                </c:pt>
                <c:pt idx="12">
                  <c:v>1.3894976022332137</c:v>
                </c:pt>
                <c:pt idx="13">
                  <c:v>1.1538990390432018</c:v>
                </c:pt>
                <c:pt idx="14">
                  <c:v>0.98486390046529027</c:v>
                </c:pt>
                <c:pt idx="15">
                  <c:v>1.0096903978849781</c:v>
                </c:pt>
                <c:pt idx="16">
                  <c:v>1.0129155581695948</c:v>
                </c:pt>
                <c:pt idx="17">
                  <c:v>0.84734294619080375</c:v>
                </c:pt>
                <c:pt idx="18">
                  <c:v>0.81437277021051258</c:v>
                </c:pt>
                <c:pt idx="19">
                  <c:v>0.67726504999198656</c:v>
                </c:pt>
                <c:pt idx="20">
                  <c:v>0.55823285436933667</c:v>
                </c:pt>
                <c:pt idx="21">
                  <c:v>0.58024689741227076</c:v>
                </c:pt>
                <c:pt idx="22">
                  <c:v>0.48023295078787076</c:v>
                </c:pt>
                <c:pt idx="23">
                  <c:v>0.39620403047082764</c:v>
                </c:pt>
                <c:pt idx="24">
                  <c:v>0.39534993871153062</c:v>
                </c:pt>
                <c:pt idx="25">
                  <c:v>0.14500341463462427</c:v>
                </c:pt>
                <c:pt idx="26">
                  <c:v>0.35184778145562035</c:v>
                </c:pt>
              </c:numCache>
            </c:numRef>
          </c:val>
          <c:smooth val="0"/>
          <c:extLst>
            <c:ext xmlns:c16="http://schemas.microsoft.com/office/drawing/2014/chart" uri="{C3380CC4-5D6E-409C-BE32-E72D297353CC}">
              <c16:uniqueId val="{00000000-6588-4223-98BB-6C005AC2C7B0}"/>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Múltiplo (x)</a:t>
                </a:r>
              </a:p>
            </c:rich>
          </c:tx>
          <c:overlay val="0"/>
        </c:title>
        <c:numFmt formatCode="0.0&quot;x&quot;" sourceLinked="0"/>
        <c:majorTickMark val="none"/>
        <c:minorTickMark val="none"/>
        <c:tickLblPos val="nextTo"/>
        <c:crossAx val="10"/>
        <c:crosses val="autoZero"/>
        <c:crossBetween val="between"/>
      </c:valAx>
    </c:plotArea>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Fleuriet: CCL, NCG e Saldo de Tesouraria</a:t>
            </a:r>
          </a:p>
        </c:rich>
      </c:tx>
      <c:overlay val="0"/>
    </c:title>
    <c:autoTitleDeleted val="0"/>
    <c:plotArea>
      <c:layout/>
      <c:lineChart>
        <c:grouping val="standard"/>
        <c:varyColors val="0"/>
        <c:ser>
          <c:idx val="0"/>
          <c:order val="0"/>
          <c:tx>
            <c:v>CCL / CDG = AC − PC</c:v>
          </c:tx>
          <c:spPr>
            <a:ln w="28575">
              <a:solidFill>
                <a:srgbClr val="2A78D6"/>
              </a:solidFill>
              <a:prstDash val="solid"/>
            </a:ln>
          </c:spPr>
          <c:marker>
            <c:symbol val="none"/>
          </c:marker>
          <c:cat>
            <c:strRef>
              <c:f>Indicadores!$C$4:$AF$4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Indicadores!$C$34:$AF$34</c:f>
              <c:numCache>
                <c:formatCode>#,##0.0;[Red]\-#,##0.0</c:formatCode>
                <c:ptCount val="30"/>
                <c:pt idx="0">
                  <c:v>-2688.8999999999996</c:v>
                </c:pt>
                <c:pt idx="1">
                  <c:v>-1056.8270000000002</c:v>
                </c:pt>
                <c:pt idx="2">
                  <c:v>-1930.1419999999998</c:v>
                </c:pt>
                <c:pt idx="3">
                  <c:v>-677.19200000000001</c:v>
                </c:pt>
                <c:pt idx="4">
                  <c:v>-1405.9440000000004</c:v>
                </c:pt>
                <c:pt idx="5">
                  <c:v>937.72099999999955</c:v>
                </c:pt>
                <c:pt idx="6">
                  <c:v>1886.6849999999995</c:v>
                </c:pt>
                <c:pt idx="7">
                  <c:v>1955.7950000000001</c:v>
                </c:pt>
                <c:pt idx="8">
                  <c:v>2145.7379999999994</c:v>
                </c:pt>
                <c:pt idx="9">
                  <c:v>1771.3879999999999</c:v>
                </c:pt>
                <c:pt idx="10">
                  <c:v>1366.5410000000002</c:v>
                </c:pt>
                <c:pt idx="11">
                  <c:v>-419.14100000000053</c:v>
                </c:pt>
                <c:pt idx="12">
                  <c:v>358.35899999999947</c:v>
                </c:pt>
                <c:pt idx="13">
                  <c:v>340.7559999999994</c:v>
                </c:pt>
                <c:pt idx="14">
                  <c:v>1050.9790000000003</c:v>
                </c:pt>
                <c:pt idx="15">
                  <c:v>1335.4989999999998</c:v>
                </c:pt>
                <c:pt idx="16">
                  <c:v>2166.5529999999999</c:v>
                </c:pt>
                <c:pt idx="17">
                  <c:v>2830.530999999999</c:v>
                </c:pt>
                <c:pt idx="18">
                  <c:v>2440.7559999999994</c:v>
                </c:pt>
                <c:pt idx="19">
                  <c:v>1057.4779999999992</c:v>
                </c:pt>
                <c:pt idx="20">
                  <c:v>632.09599999999955</c:v>
                </c:pt>
                <c:pt idx="21">
                  <c:v>-524.44599999999991</c:v>
                </c:pt>
                <c:pt idx="22">
                  <c:v>1421.973</c:v>
                </c:pt>
                <c:pt idx="23">
                  <c:v>2344.9789999999994</c:v>
                </c:pt>
                <c:pt idx="24">
                  <c:v>1979.1129999999994</c:v>
                </c:pt>
                <c:pt idx="25">
                  <c:v>3050.7710000000006</c:v>
                </c:pt>
                <c:pt idx="26">
                  <c:v>3231.0759999999991</c:v>
                </c:pt>
                <c:pt idx="27">
                  <c:v>2039.2610000000004</c:v>
                </c:pt>
                <c:pt idx="28">
                  <c:v>4939.4040000000005</c:v>
                </c:pt>
                <c:pt idx="29">
                  <c:v>1718.4050000000007</c:v>
                </c:pt>
              </c:numCache>
            </c:numRef>
          </c:val>
          <c:smooth val="0"/>
          <c:extLst>
            <c:ext xmlns:c16="http://schemas.microsoft.com/office/drawing/2014/chart" uri="{C3380CC4-5D6E-409C-BE32-E72D297353CC}">
              <c16:uniqueId val="{00000000-C08C-40AB-934D-CCA26B38B790}"/>
            </c:ext>
          </c:extLst>
        </c:ser>
        <c:ser>
          <c:idx val="1"/>
          <c:order val="1"/>
          <c:tx>
            <c:v>NCG = ACO − PCO</c:v>
          </c:tx>
          <c:spPr>
            <a:ln w="28575">
              <a:solidFill>
                <a:srgbClr val="EB6834"/>
              </a:solidFill>
              <a:prstDash val="solid"/>
            </a:ln>
          </c:spPr>
          <c:marker>
            <c:symbol val="none"/>
          </c:marker>
          <c:cat>
            <c:strRef>
              <c:f>Indicadores!$C$4:$AF$4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Indicadores!$C$37:$AF$37</c:f>
              <c:numCache>
                <c:formatCode>#,##0.0;[Red]\-#,##0.0</c:formatCode>
                <c:ptCount val="30"/>
                <c:pt idx="0">
                  <c:v>-6037.4569999999994</c:v>
                </c:pt>
                <c:pt idx="1">
                  <c:v>-6061.0740000000005</c:v>
                </c:pt>
                <c:pt idx="2">
                  <c:v>-6365.16</c:v>
                </c:pt>
                <c:pt idx="3">
                  <c:v>-5695.6289999999999</c:v>
                </c:pt>
                <c:pt idx="4">
                  <c:v>-6058.8280000000004</c:v>
                </c:pt>
                <c:pt idx="5">
                  <c:v>-5716.527</c:v>
                </c:pt>
                <c:pt idx="6">
                  <c:v>-6005.7060000000001</c:v>
                </c:pt>
                <c:pt idx="7">
                  <c:v>-5749.8770000000004</c:v>
                </c:pt>
                <c:pt idx="8">
                  <c:v>-5558.9670000000006</c:v>
                </c:pt>
                <c:pt idx="9">
                  <c:v>-5307.1419999999998</c:v>
                </c:pt>
                <c:pt idx="10">
                  <c:v>-5461.14</c:v>
                </c:pt>
                <c:pt idx="11">
                  <c:v>-5747.1220000000003</c:v>
                </c:pt>
                <c:pt idx="12">
                  <c:v>-5650.5869999999995</c:v>
                </c:pt>
                <c:pt idx="13">
                  <c:v>-5478.6930000000002</c:v>
                </c:pt>
                <c:pt idx="14">
                  <c:v>-5062.7539999999999</c:v>
                </c:pt>
                <c:pt idx="15">
                  <c:v>-4722.9529999999995</c:v>
                </c:pt>
                <c:pt idx="16">
                  <c:v>-5261.9509999999991</c:v>
                </c:pt>
                <c:pt idx="17">
                  <c:v>-5347.4580000000005</c:v>
                </c:pt>
                <c:pt idx="18">
                  <c:v>-5026.6900000000005</c:v>
                </c:pt>
                <c:pt idx="19">
                  <c:v>-5680.5640000000021</c:v>
                </c:pt>
                <c:pt idx="20">
                  <c:v>-5614.643</c:v>
                </c:pt>
                <c:pt idx="21">
                  <c:v>-5380.3580000000002</c:v>
                </c:pt>
                <c:pt idx="22">
                  <c:v>-5981.9539999999997</c:v>
                </c:pt>
                <c:pt idx="23">
                  <c:v>-5454.3070000000007</c:v>
                </c:pt>
                <c:pt idx="24">
                  <c:v>-5385.8770000000004</c:v>
                </c:pt>
                <c:pt idx="25">
                  <c:v>-5339.7489999999998</c:v>
                </c:pt>
                <c:pt idx="26">
                  <c:v>-6093.3160000000007</c:v>
                </c:pt>
                <c:pt idx="27">
                  <c:v>-6024.2330000000002</c:v>
                </c:pt>
                <c:pt idx="28">
                  <c:v>-6350.0459999999994</c:v>
                </c:pt>
                <c:pt idx="29">
                  <c:v>-4925.5049999999992</c:v>
                </c:pt>
              </c:numCache>
            </c:numRef>
          </c:val>
          <c:smooth val="0"/>
          <c:extLst>
            <c:ext xmlns:c16="http://schemas.microsoft.com/office/drawing/2014/chart" uri="{C3380CC4-5D6E-409C-BE32-E72D297353CC}">
              <c16:uniqueId val="{00000001-C08C-40AB-934D-CCA26B38B790}"/>
            </c:ext>
          </c:extLst>
        </c:ser>
        <c:ser>
          <c:idx val="2"/>
          <c:order val="2"/>
          <c:tx>
            <c:v>Saldo de tesouraria ST = CCL − NCG</c:v>
          </c:tx>
          <c:spPr>
            <a:ln w="28575">
              <a:solidFill>
                <a:srgbClr val="1BAF7A"/>
              </a:solidFill>
              <a:prstDash val="solid"/>
            </a:ln>
          </c:spPr>
          <c:marker>
            <c:symbol val="none"/>
          </c:marker>
          <c:cat>
            <c:strRef>
              <c:f>Indicadores!$C$4:$AF$4</c:f>
              <c:strCache>
                <c:ptCount val="30"/>
                <c:pt idx="0">
                  <c:v>2019T1</c:v>
                </c:pt>
                <c:pt idx="1">
                  <c:v>2019T2</c:v>
                </c:pt>
                <c:pt idx="2">
                  <c:v>2019T3</c:v>
                </c:pt>
                <c:pt idx="3">
                  <c:v>2019T4</c:v>
                </c:pt>
                <c:pt idx="4">
                  <c:v>2020T1</c:v>
                </c:pt>
                <c:pt idx="5">
                  <c:v>2020T2</c:v>
                </c:pt>
                <c:pt idx="6">
                  <c:v>2020T3</c:v>
                </c:pt>
                <c:pt idx="7">
                  <c:v>2020T4</c:v>
                </c:pt>
                <c:pt idx="8">
                  <c:v>2021T1</c:v>
                </c:pt>
                <c:pt idx="9">
                  <c:v>2021T2</c:v>
                </c:pt>
                <c:pt idx="10">
                  <c:v>2021T3</c:v>
                </c:pt>
                <c:pt idx="11">
                  <c:v>2021T4</c:v>
                </c:pt>
                <c:pt idx="12">
                  <c:v>2022T1</c:v>
                </c:pt>
                <c:pt idx="13">
                  <c:v>2022T2</c:v>
                </c:pt>
                <c:pt idx="14">
                  <c:v>2022T3</c:v>
                </c:pt>
                <c:pt idx="15">
                  <c:v>2022T4</c:v>
                </c:pt>
                <c:pt idx="16">
                  <c:v>2023T1</c:v>
                </c:pt>
                <c:pt idx="17">
                  <c:v>2023T2</c:v>
                </c:pt>
                <c:pt idx="18">
                  <c:v>2023T3</c:v>
                </c:pt>
                <c:pt idx="19">
                  <c:v>2023T4</c:v>
                </c:pt>
                <c:pt idx="20">
                  <c:v>2024T1</c:v>
                </c:pt>
                <c:pt idx="21">
                  <c:v>2024T2</c:v>
                </c:pt>
                <c:pt idx="22">
                  <c:v>2024T3</c:v>
                </c:pt>
                <c:pt idx="23">
                  <c:v>2024T4</c:v>
                </c:pt>
                <c:pt idx="24">
                  <c:v>2025T1</c:v>
                </c:pt>
                <c:pt idx="25">
                  <c:v>2025T2</c:v>
                </c:pt>
                <c:pt idx="26">
                  <c:v>2025T3</c:v>
                </c:pt>
                <c:pt idx="27">
                  <c:v>2025T4</c:v>
                </c:pt>
                <c:pt idx="28">
                  <c:v>2026T1</c:v>
                </c:pt>
                <c:pt idx="29">
                  <c:v>2026T2</c:v>
                </c:pt>
              </c:strCache>
            </c:strRef>
          </c:cat>
          <c:val>
            <c:numRef>
              <c:f>Indicadores!$C$38:$AF$38</c:f>
              <c:numCache>
                <c:formatCode>#,##0.0;[Red]\-#,##0.0</c:formatCode>
                <c:ptCount val="30"/>
                <c:pt idx="0">
                  <c:v>3348.5569999999998</c:v>
                </c:pt>
                <c:pt idx="1">
                  <c:v>5004.2470000000003</c:v>
                </c:pt>
                <c:pt idx="2">
                  <c:v>4435.018</c:v>
                </c:pt>
                <c:pt idx="3">
                  <c:v>5018.4369999999999</c:v>
                </c:pt>
                <c:pt idx="4">
                  <c:v>4652.884</c:v>
                </c:pt>
                <c:pt idx="5">
                  <c:v>6654.2479999999996</c:v>
                </c:pt>
                <c:pt idx="6">
                  <c:v>7892.3909999999996</c:v>
                </c:pt>
                <c:pt idx="7">
                  <c:v>7705.6720000000005</c:v>
                </c:pt>
                <c:pt idx="8">
                  <c:v>7704.7049999999999</c:v>
                </c:pt>
                <c:pt idx="9">
                  <c:v>7078.53</c:v>
                </c:pt>
                <c:pt idx="10">
                  <c:v>6827.6810000000005</c:v>
                </c:pt>
                <c:pt idx="11">
                  <c:v>5327.9809999999998</c:v>
                </c:pt>
                <c:pt idx="12">
                  <c:v>6008.945999999999</c:v>
                </c:pt>
                <c:pt idx="13">
                  <c:v>5819.4489999999996</c:v>
                </c:pt>
                <c:pt idx="14">
                  <c:v>6113.7330000000002</c:v>
                </c:pt>
                <c:pt idx="15">
                  <c:v>6058.4519999999993</c:v>
                </c:pt>
                <c:pt idx="16">
                  <c:v>7428.503999999999</c:v>
                </c:pt>
                <c:pt idx="17">
                  <c:v>8177.9889999999996</c:v>
                </c:pt>
                <c:pt idx="18">
                  <c:v>7467.4459999999999</c:v>
                </c:pt>
                <c:pt idx="19">
                  <c:v>6738.0420000000013</c:v>
                </c:pt>
                <c:pt idx="20">
                  <c:v>6246.7389999999996</c:v>
                </c:pt>
                <c:pt idx="21">
                  <c:v>4855.9120000000003</c:v>
                </c:pt>
                <c:pt idx="22">
                  <c:v>7403.9269999999997</c:v>
                </c:pt>
                <c:pt idx="23">
                  <c:v>7799.2860000000001</c:v>
                </c:pt>
                <c:pt idx="24">
                  <c:v>7364.99</c:v>
                </c:pt>
                <c:pt idx="25">
                  <c:v>8390.52</c:v>
                </c:pt>
                <c:pt idx="26">
                  <c:v>9324.3919999999998</c:v>
                </c:pt>
                <c:pt idx="27">
                  <c:v>8063.4940000000006</c:v>
                </c:pt>
                <c:pt idx="28">
                  <c:v>11289.45</c:v>
                </c:pt>
                <c:pt idx="29">
                  <c:v>6643.91</c:v>
                </c:pt>
              </c:numCache>
            </c:numRef>
          </c:val>
          <c:smooth val="0"/>
          <c:extLst>
            <c:ext xmlns:c16="http://schemas.microsoft.com/office/drawing/2014/chart" uri="{C3380CC4-5D6E-409C-BE32-E72D297353CC}">
              <c16:uniqueId val="{00000002-C08C-40AB-934D-CCA26B38B790}"/>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US$ milhões</a:t>
                </a:r>
              </a:p>
            </c:rich>
          </c:tx>
          <c:overlay val="0"/>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Dólar x receita: variação em 12 meses</a:t>
            </a:r>
          </a:p>
        </c:rich>
      </c:tx>
      <c:overlay val="0"/>
    </c:title>
    <c:autoTitleDeleted val="0"/>
    <c:plotArea>
      <c:layout/>
      <c:lineChart>
        <c:grouping val="standard"/>
        <c:varyColors val="0"/>
        <c:ser>
          <c:idx val="0"/>
          <c:order val="0"/>
          <c:tx>
            <c:v>Variação do índice do dólar em 12 meses</c:v>
          </c:tx>
          <c:spPr>
            <a:ln w="28575">
              <a:solidFill>
                <a:srgbClr val="2A78D6"/>
              </a:solidFill>
              <a:prstDash val="solid"/>
            </a:ln>
          </c:spPr>
          <c:marker>
            <c:symbol val="none"/>
          </c:marker>
          <c:cat>
            <c:strRef>
              <c:f>Macro!$G$4:$AF$4</c:f>
              <c:strCache>
                <c:ptCount val="26"/>
                <c:pt idx="0">
                  <c:v>2020T1</c:v>
                </c:pt>
                <c:pt idx="1">
                  <c:v>2020T2</c:v>
                </c:pt>
                <c:pt idx="2">
                  <c:v>2020T3</c:v>
                </c:pt>
                <c:pt idx="3">
                  <c:v>2020T4</c:v>
                </c:pt>
                <c:pt idx="4">
                  <c:v>2021T1</c:v>
                </c:pt>
                <c:pt idx="5">
                  <c:v>2021T2</c:v>
                </c:pt>
                <c:pt idx="6">
                  <c:v>2021T3</c:v>
                </c:pt>
                <c:pt idx="7">
                  <c:v>2021T4</c:v>
                </c:pt>
                <c:pt idx="8">
                  <c:v>2022T1</c:v>
                </c:pt>
                <c:pt idx="9">
                  <c:v>2022T2</c:v>
                </c:pt>
                <c:pt idx="10">
                  <c:v>2022T3</c:v>
                </c:pt>
                <c:pt idx="11">
                  <c:v>2022T4</c:v>
                </c:pt>
                <c:pt idx="12">
                  <c:v>2023T1</c:v>
                </c:pt>
                <c:pt idx="13">
                  <c:v>2023T2</c:v>
                </c:pt>
                <c:pt idx="14">
                  <c:v>2023T3</c:v>
                </c:pt>
                <c:pt idx="15">
                  <c:v>2023T4</c:v>
                </c:pt>
                <c:pt idx="16">
                  <c:v>2024T1</c:v>
                </c:pt>
                <c:pt idx="17">
                  <c:v>2024T2</c:v>
                </c:pt>
                <c:pt idx="18">
                  <c:v>2024T3</c:v>
                </c:pt>
                <c:pt idx="19">
                  <c:v>2024T4</c:v>
                </c:pt>
                <c:pt idx="20">
                  <c:v>2025T1</c:v>
                </c:pt>
                <c:pt idx="21">
                  <c:v>2025T2</c:v>
                </c:pt>
                <c:pt idx="22">
                  <c:v>2025T3</c:v>
                </c:pt>
                <c:pt idx="23">
                  <c:v>2025T4</c:v>
                </c:pt>
                <c:pt idx="24">
                  <c:v>2026T1</c:v>
                </c:pt>
                <c:pt idx="25">
                  <c:v>2026T2</c:v>
                </c:pt>
              </c:strCache>
            </c:strRef>
          </c:cat>
          <c:val>
            <c:numRef>
              <c:f>Macro!$G$21:$AF$21</c:f>
              <c:numCache>
                <c:formatCode>0.0%;[Red]\-0.0%</c:formatCode>
                <c:ptCount val="26"/>
                <c:pt idx="0">
                  <c:v>5.0029816182976194E-2</c:v>
                </c:pt>
                <c:pt idx="1">
                  <c:v>0.12306915780838601</c:v>
                </c:pt>
                <c:pt idx="2">
                  <c:v>7.4226132030004832E-2</c:v>
                </c:pt>
                <c:pt idx="3">
                  <c:v>4.8537000000000052E-2</c:v>
                </c:pt>
                <c:pt idx="4">
                  <c:v>1.5273206184874155E-2</c:v>
                </c:pt>
                <c:pt idx="5">
                  <c:v>-6.8526117453787005E-2</c:v>
                </c:pt>
                <c:pt idx="6">
                  <c:v>-3.3061228288996047E-2</c:v>
                </c:pt>
                <c:pt idx="7">
                  <c:v>2.9881635078208957E-2</c:v>
                </c:pt>
                <c:pt idx="8">
                  <c:v>2.6844858421412265E-2</c:v>
                </c:pt>
                <c:pt idx="9">
                  <c:v>6.1712924286023707E-2</c:v>
                </c:pt>
                <c:pt idx="10">
                  <c:v>0.11516613545548271</c:v>
                </c:pt>
                <c:pt idx="11">
                  <c:v>7.1435516715453229E-2</c:v>
                </c:pt>
                <c:pt idx="12">
                  <c:v>3.5279431372970516E-2</c:v>
                </c:pt>
                <c:pt idx="13">
                  <c:v>-1.1264699025165026E-2</c:v>
                </c:pt>
                <c:pt idx="14">
                  <c:v>-6.1759683993722669E-2</c:v>
                </c:pt>
                <c:pt idx="15">
                  <c:v>-4.210075971685634E-2</c:v>
                </c:pt>
                <c:pt idx="16">
                  <c:v>-9.8945472136782175E-3</c:v>
                </c:pt>
                <c:pt idx="17">
                  <c:v>3.9784905629094869E-2</c:v>
                </c:pt>
                <c:pt idx="18">
                  <c:v>4.8818119590178455E-2</c:v>
                </c:pt>
                <c:pt idx="19">
                  <c:v>6.5369543778348582E-2</c:v>
                </c:pt>
                <c:pt idx="20">
                  <c:v>8.6531616076629403E-2</c:v>
                </c:pt>
                <c:pt idx="21">
                  <c:v>2.6017490273337884E-3</c:v>
                </c:pt>
                <c:pt idx="22">
                  <c:v>-2.6050616988297026E-2</c:v>
                </c:pt>
                <c:pt idx="23">
                  <c:v>-5.1728226514040188E-2</c:v>
                </c:pt>
                <c:pt idx="24">
                  <c:v>-7.1811018601482646E-2</c:v>
                </c:pt>
                <c:pt idx="25">
                  <c:v>-2.7588967240475992E-2</c:v>
                </c:pt>
              </c:numCache>
            </c:numRef>
          </c:val>
          <c:smooth val="0"/>
          <c:extLst>
            <c:ext xmlns:c16="http://schemas.microsoft.com/office/drawing/2014/chart" uri="{C3380CC4-5D6E-409C-BE32-E72D297353CC}">
              <c16:uniqueId val="{00000000-F3B1-4B97-A2CE-B72FA7CD2F43}"/>
            </c:ext>
          </c:extLst>
        </c:ser>
        <c:ser>
          <c:idx val="1"/>
          <c:order val="1"/>
          <c:tx>
            <c:v>Netflix: crescimento da receita em 12 meses</c:v>
          </c:tx>
          <c:spPr>
            <a:ln w="28575">
              <a:solidFill>
                <a:srgbClr val="EB6834"/>
              </a:solidFill>
              <a:prstDash val="solid"/>
            </a:ln>
          </c:spPr>
          <c:marker>
            <c:symbol val="none"/>
          </c:marker>
          <c:cat>
            <c:strRef>
              <c:f>Macro!$G$4:$AF$4</c:f>
              <c:strCache>
                <c:ptCount val="26"/>
                <c:pt idx="0">
                  <c:v>2020T1</c:v>
                </c:pt>
                <c:pt idx="1">
                  <c:v>2020T2</c:v>
                </c:pt>
                <c:pt idx="2">
                  <c:v>2020T3</c:v>
                </c:pt>
                <c:pt idx="3">
                  <c:v>2020T4</c:v>
                </c:pt>
                <c:pt idx="4">
                  <c:v>2021T1</c:v>
                </c:pt>
                <c:pt idx="5">
                  <c:v>2021T2</c:v>
                </c:pt>
                <c:pt idx="6">
                  <c:v>2021T3</c:v>
                </c:pt>
                <c:pt idx="7">
                  <c:v>2021T4</c:v>
                </c:pt>
                <c:pt idx="8">
                  <c:v>2022T1</c:v>
                </c:pt>
                <c:pt idx="9">
                  <c:v>2022T2</c:v>
                </c:pt>
                <c:pt idx="10">
                  <c:v>2022T3</c:v>
                </c:pt>
                <c:pt idx="11">
                  <c:v>2022T4</c:v>
                </c:pt>
                <c:pt idx="12">
                  <c:v>2023T1</c:v>
                </c:pt>
                <c:pt idx="13">
                  <c:v>2023T2</c:v>
                </c:pt>
                <c:pt idx="14">
                  <c:v>2023T3</c:v>
                </c:pt>
                <c:pt idx="15">
                  <c:v>2023T4</c:v>
                </c:pt>
                <c:pt idx="16">
                  <c:v>2024T1</c:v>
                </c:pt>
                <c:pt idx="17">
                  <c:v>2024T2</c:v>
                </c:pt>
                <c:pt idx="18">
                  <c:v>2024T3</c:v>
                </c:pt>
                <c:pt idx="19">
                  <c:v>2024T4</c:v>
                </c:pt>
                <c:pt idx="20">
                  <c:v>2025T1</c:v>
                </c:pt>
                <c:pt idx="21">
                  <c:v>2025T2</c:v>
                </c:pt>
                <c:pt idx="22">
                  <c:v>2025T3</c:v>
                </c:pt>
                <c:pt idx="23">
                  <c:v>2025T4</c:v>
                </c:pt>
                <c:pt idx="24">
                  <c:v>2026T1</c:v>
                </c:pt>
                <c:pt idx="25">
                  <c:v>2026T2</c:v>
                </c:pt>
              </c:strCache>
            </c:strRef>
          </c:cat>
          <c:val>
            <c:numRef>
              <c:f>Macro!$G$22:$AF$22</c:f>
              <c:numCache>
                <c:formatCode>0.0%;[Red]\-0.0%</c:formatCode>
                <c:ptCount val="26"/>
                <c:pt idx="0">
                  <c:v>0.27575784252659585</c:v>
                </c:pt>
                <c:pt idx="1">
                  <c:v>0.24886068091834523</c:v>
                </c:pt>
                <c:pt idx="2">
                  <c:v>0.22702641897231696</c:v>
                </c:pt>
                <c:pt idx="3">
                  <c:v>0.21527612404649049</c:v>
                </c:pt>
                <c:pt idx="4">
                  <c:v>0.2419670193843603</c:v>
                </c:pt>
                <c:pt idx="5">
                  <c:v>0.19411767767472105</c:v>
                </c:pt>
                <c:pt idx="6">
                  <c:v>0.16281682761162569</c:v>
                </c:pt>
                <c:pt idx="7">
                  <c:v>0.16026567768971423</c:v>
                </c:pt>
                <c:pt idx="8">
                  <c:v>9.8346679636512932E-2</c:v>
                </c:pt>
                <c:pt idx="9">
                  <c:v>8.5587453827595084E-2</c:v>
                </c:pt>
                <c:pt idx="10">
                  <c:v>5.90798355895737E-2</c:v>
                </c:pt>
                <c:pt idx="11">
                  <c:v>1.8514607906950999E-2</c:v>
                </c:pt>
                <c:pt idx="12">
                  <c:v>3.7334100005757653E-2</c:v>
                </c:pt>
                <c:pt idx="13">
                  <c:v>2.7246694882813338E-2</c:v>
                </c:pt>
                <c:pt idx="14">
                  <c:v>7.7732897832577461E-2</c:v>
                </c:pt>
                <c:pt idx="15">
                  <c:v>0.12490644166563838</c:v>
                </c:pt>
                <c:pt idx="16">
                  <c:v>0.14812676047536844</c:v>
                </c:pt>
                <c:pt idx="17">
                  <c:v>0.16757769135396378</c:v>
                </c:pt>
                <c:pt idx="18">
                  <c:v>0.15020895216250502</c:v>
                </c:pt>
                <c:pt idx="19">
                  <c:v>0.16004936133117095</c:v>
                </c:pt>
                <c:pt idx="20">
                  <c:v>0.12511269481475779</c:v>
                </c:pt>
                <c:pt idx="21">
                  <c:v>0.15899222851858552</c:v>
                </c:pt>
                <c:pt idx="22">
                  <c:v>0.17156793442000245</c:v>
                </c:pt>
                <c:pt idx="23">
                  <c:v>0.17608419566734554</c:v>
                </c:pt>
                <c:pt idx="24">
                  <c:v>0.16190725785301271</c:v>
                </c:pt>
                <c:pt idx="25">
                  <c:v>0.13365374252899551</c:v>
                </c:pt>
              </c:numCache>
            </c:numRef>
          </c:val>
          <c:smooth val="0"/>
          <c:extLst>
            <c:ext xmlns:c16="http://schemas.microsoft.com/office/drawing/2014/chart" uri="{C3380CC4-5D6E-409C-BE32-E72D297353CC}">
              <c16:uniqueId val="{00000001-F3B1-4B97-A2CE-B72FA7CD2F43}"/>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Trimestre</a:t>
                </a:r>
              </a:p>
            </c:rich>
          </c:tx>
          <c:overlay val="0"/>
        </c:title>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w="6350">
              <a:solidFill>
                <a:srgbClr val="E1E0D9"/>
              </a:solidFill>
              <a:prstDash val="solid"/>
            </a:ln>
          </c:spPr>
        </c:majorGridlines>
        <c:title>
          <c:tx>
            <c:rich>
              <a:bodyPr/>
              <a:lstStyle/>
              <a:p>
                <a:pPr>
                  <a:defRPr/>
                </a:pPr>
                <a:r>
                  <a:t>Variação %</a:t>
                </a:r>
              </a:p>
            </c:rich>
          </c:tx>
          <c:overlay val="0"/>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8640000" cy="32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22</xdr:row>
      <xdr:rowOff>0</xdr:rowOff>
    </xdr:from>
    <xdr:ext cx="8640000" cy="324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41</xdr:row>
      <xdr:rowOff>0</xdr:rowOff>
    </xdr:from>
    <xdr:ext cx="8640000" cy="324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60</xdr:row>
      <xdr:rowOff>0</xdr:rowOff>
    </xdr:from>
    <xdr:ext cx="8640000" cy="324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79</xdr:row>
      <xdr:rowOff>0</xdr:rowOff>
    </xdr:from>
    <xdr:ext cx="8640000" cy="32400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98</xdr:row>
      <xdr:rowOff>0</xdr:rowOff>
    </xdr:from>
    <xdr:ext cx="8640000" cy="32400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117</xdr:row>
      <xdr:rowOff>0</xdr:rowOff>
    </xdr:from>
    <xdr:ext cx="8640000" cy="32400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0</xdr:colOff>
      <xdr:row>136</xdr:row>
      <xdr:rowOff>0</xdr:rowOff>
    </xdr:from>
    <xdr:ext cx="8640000" cy="324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showGridLines="0" tabSelected="1" workbookViewId="0"/>
  </sheetViews>
  <sheetFormatPr defaultRowHeight="14.4" x14ac:dyDescent="0.3"/>
  <cols>
    <col min="1" max="1" width="140" customWidth="1"/>
  </cols>
  <sheetData>
    <row r="1" spans="1:1" ht="18" x14ac:dyDescent="0.35">
      <c r="A1" s="1" t="s">
        <v>0</v>
      </c>
    </row>
    <row r="2" spans="1:1" x14ac:dyDescent="0.3">
      <c r="A2" s="2" t="s">
        <v>1</v>
      </c>
    </row>
    <row r="4" spans="1:1" x14ac:dyDescent="0.3">
      <c r="A4" s="3" t="s">
        <v>2</v>
      </c>
    </row>
    <row r="5" spans="1:1" x14ac:dyDescent="0.3">
      <c r="A5" s="4" t="s">
        <v>3</v>
      </c>
    </row>
    <row r="6" spans="1:1" x14ac:dyDescent="0.3">
      <c r="A6" s="4" t="s">
        <v>4</v>
      </c>
    </row>
    <row r="7" spans="1:1" x14ac:dyDescent="0.3">
      <c r="A7" s="4" t="s">
        <v>5</v>
      </c>
    </row>
    <row r="9" spans="1:1" x14ac:dyDescent="0.3">
      <c r="A9" s="3" t="s">
        <v>6</v>
      </c>
    </row>
    <row r="10" spans="1:1" x14ac:dyDescent="0.3">
      <c r="A10" s="4" t="s">
        <v>7</v>
      </c>
    </row>
    <row r="11" spans="1:1" x14ac:dyDescent="0.3">
      <c r="A11" s="4" t="s">
        <v>8</v>
      </c>
    </row>
    <row r="12" spans="1:1" x14ac:dyDescent="0.3">
      <c r="A12" s="4" t="s">
        <v>9</v>
      </c>
    </row>
    <row r="13" spans="1:1" x14ac:dyDescent="0.3">
      <c r="A13" s="4" t="s">
        <v>10</v>
      </c>
    </row>
    <row r="14" spans="1:1" x14ac:dyDescent="0.3">
      <c r="A14" s="4" t="s">
        <v>11</v>
      </c>
    </row>
    <row r="15" spans="1:1" x14ac:dyDescent="0.3">
      <c r="A15" s="4" t="s">
        <v>12</v>
      </c>
    </row>
    <row r="16" spans="1:1" x14ac:dyDescent="0.3">
      <c r="A16" s="4" t="s">
        <v>13</v>
      </c>
    </row>
    <row r="17" spans="1:1" x14ac:dyDescent="0.3">
      <c r="A17" s="4" t="s">
        <v>14</v>
      </c>
    </row>
    <row r="18" spans="1:1" x14ac:dyDescent="0.3">
      <c r="A18" s="4" t="s">
        <v>15</v>
      </c>
    </row>
    <row r="20" spans="1:1" x14ac:dyDescent="0.3">
      <c r="A20" s="3" t="s">
        <v>16</v>
      </c>
    </row>
    <row r="21" spans="1:1" x14ac:dyDescent="0.3">
      <c r="A21" s="4" t="s">
        <v>17</v>
      </c>
    </row>
    <row r="22" spans="1:1" x14ac:dyDescent="0.3">
      <c r="A22" s="4" t="s">
        <v>18</v>
      </c>
    </row>
    <row r="23" spans="1:1" x14ac:dyDescent="0.3">
      <c r="A23" s="4" t="s">
        <v>19</v>
      </c>
    </row>
    <row r="24" spans="1:1" x14ac:dyDescent="0.3">
      <c r="A24" s="4" t="s">
        <v>20</v>
      </c>
    </row>
    <row r="26" spans="1:1" x14ac:dyDescent="0.3">
      <c r="A26" s="3" t="s">
        <v>21</v>
      </c>
    </row>
    <row r="27" spans="1:1" x14ac:dyDescent="0.3">
      <c r="A27" s="4" t="s">
        <v>22</v>
      </c>
    </row>
    <row r="28" spans="1:1" x14ac:dyDescent="0.3">
      <c r="A28" s="4" t="s">
        <v>23</v>
      </c>
    </row>
    <row r="29" spans="1:1" x14ac:dyDescent="0.3">
      <c r="A29" s="4" t="s">
        <v>24</v>
      </c>
    </row>
    <row r="30" spans="1:1" x14ac:dyDescent="0.3">
      <c r="A30" s="4" t="s">
        <v>25</v>
      </c>
    </row>
    <row r="31" spans="1:1" x14ac:dyDescent="0.3">
      <c r="A31" s="4"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workbookViewId="0"/>
  </sheetViews>
  <sheetFormatPr defaultRowHeight="14.4" x14ac:dyDescent="0.3"/>
  <sheetData>
    <row r="1" spans="1:1" ht="18" x14ac:dyDescent="0.35">
      <c r="A1" s="1" t="s">
        <v>27</v>
      </c>
    </row>
    <row r="2" spans="1:1" x14ac:dyDescent="0.3">
      <c r="A2" s="2" t="s">
        <v>28</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2"/>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29</v>
      </c>
    </row>
    <row r="2" spans="1:32" x14ac:dyDescent="0.3">
      <c r="A2" s="2" t="s">
        <v>30</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63</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3" t="s">
        <v>64</v>
      </c>
      <c r="B7" s="8" t="s">
        <v>65</v>
      </c>
      <c r="C7" s="9">
        <v>4520.9920000000002</v>
      </c>
      <c r="D7" s="9">
        <v>4923.116</v>
      </c>
      <c r="E7" s="9">
        <v>5244.9049999999997</v>
      </c>
      <c r="F7" s="9">
        <v>5467.4340000000002</v>
      </c>
      <c r="G7" s="9">
        <v>5767.6909999999998</v>
      </c>
      <c r="H7" s="9">
        <v>6148.2860000000001</v>
      </c>
      <c r="I7" s="9">
        <v>6435.6369999999997</v>
      </c>
      <c r="J7" s="9">
        <v>6644.442</v>
      </c>
      <c r="K7" s="9">
        <v>7163.2820000000002</v>
      </c>
      <c r="L7" s="9">
        <v>7341.777</v>
      </c>
      <c r="M7" s="9">
        <v>7483.4669999999996</v>
      </c>
      <c r="N7" s="9">
        <v>7709.3180000000002</v>
      </c>
      <c r="O7" s="9">
        <v>7867.7669999999998</v>
      </c>
      <c r="P7" s="9">
        <v>7970.1409999999996</v>
      </c>
      <c r="Q7" s="9">
        <v>7925.5889999999999</v>
      </c>
      <c r="R7" s="9">
        <v>7852.0529999999999</v>
      </c>
      <c r="S7" s="9">
        <v>8161.5029999999997</v>
      </c>
      <c r="T7" s="9">
        <v>8187.3010000000004</v>
      </c>
      <c r="U7" s="9">
        <v>8541.6679999999997</v>
      </c>
      <c r="V7" s="9">
        <v>8832.8250000000007</v>
      </c>
      <c r="W7" s="9">
        <v>9370.44</v>
      </c>
      <c r="X7" s="9">
        <v>9559.31</v>
      </c>
      <c r="Y7" s="9">
        <v>9824.7029999999995</v>
      </c>
      <c r="Z7" s="9">
        <v>10246.513000000001</v>
      </c>
      <c r="AA7" s="9">
        <v>10542.800999999999</v>
      </c>
      <c r="AB7" s="9">
        <v>11079.165999999999</v>
      </c>
      <c r="AC7" s="9">
        <v>11510.307000000001</v>
      </c>
      <c r="AD7" s="9">
        <v>12050.762000000001</v>
      </c>
      <c r="AE7" s="9">
        <v>12249.757</v>
      </c>
      <c r="AF7" s="9">
        <v>12559.938</v>
      </c>
    </row>
    <row r="8" spans="1:32" x14ac:dyDescent="0.3">
      <c r="A8" s="4" t="s">
        <v>66</v>
      </c>
      <c r="B8" s="8" t="s">
        <v>67</v>
      </c>
      <c r="C8" s="9">
        <v>2870.614</v>
      </c>
      <c r="D8" s="9">
        <v>3005.6570000000002</v>
      </c>
      <c r="E8" s="9">
        <v>3097.9189999999999</v>
      </c>
      <c r="F8" s="9">
        <v>3466.0230000000001</v>
      </c>
      <c r="G8" s="9">
        <v>3599.701</v>
      </c>
      <c r="H8" s="9">
        <v>3643.7069999999999</v>
      </c>
      <c r="I8" s="9">
        <v>3867.7510000000002</v>
      </c>
      <c r="J8" s="9">
        <v>4165.16</v>
      </c>
      <c r="K8" s="9">
        <v>3868.511</v>
      </c>
      <c r="L8" s="9">
        <v>4018.0079999999998</v>
      </c>
      <c r="M8" s="9">
        <v>4206.5889999999999</v>
      </c>
      <c r="N8" s="9">
        <v>5239.5749999999998</v>
      </c>
      <c r="O8" s="9">
        <v>4284.7049999999999</v>
      </c>
      <c r="P8" s="9">
        <v>4690.7550000000001</v>
      </c>
      <c r="Q8" s="9">
        <v>4788.665</v>
      </c>
      <c r="R8" s="9">
        <v>5404.16</v>
      </c>
      <c r="S8" s="9">
        <v>4803.625</v>
      </c>
      <c r="T8" s="9">
        <v>4673.47</v>
      </c>
      <c r="U8" s="9">
        <v>4930.7879999999996</v>
      </c>
      <c r="V8" s="9">
        <v>5307.4849999999997</v>
      </c>
      <c r="W8" s="9">
        <v>4977.0730000000003</v>
      </c>
      <c r="X8" s="9">
        <v>5174.143</v>
      </c>
      <c r="Y8" s="9">
        <v>5119.884</v>
      </c>
      <c r="Z8" s="9">
        <v>5767.3639999999996</v>
      </c>
      <c r="AA8" s="9">
        <v>5263.1469999999999</v>
      </c>
      <c r="AB8" s="9">
        <v>5325.3109999999997</v>
      </c>
      <c r="AC8" s="9">
        <v>6164.25</v>
      </c>
      <c r="AD8" s="9">
        <v>6522.6210000000001</v>
      </c>
      <c r="AE8" s="9">
        <v>5888.2380000000003</v>
      </c>
      <c r="AF8" s="9">
        <v>6036.9650000000001</v>
      </c>
    </row>
    <row r="9" spans="1:32" x14ac:dyDescent="0.3">
      <c r="A9" s="3" t="s">
        <v>68</v>
      </c>
      <c r="B9" s="8" t="s">
        <v>69</v>
      </c>
      <c r="C9" s="10">
        <f t="shared" ref="C9:AF9" si="0">C7-C8</f>
        <v>1650.3780000000002</v>
      </c>
      <c r="D9" s="10">
        <f t="shared" si="0"/>
        <v>1917.4589999999998</v>
      </c>
      <c r="E9" s="10">
        <f t="shared" si="0"/>
        <v>2146.9859999999999</v>
      </c>
      <c r="F9" s="10">
        <f t="shared" si="0"/>
        <v>2001.4110000000001</v>
      </c>
      <c r="G9" s="10">
        <f t="shared" si="0"/>
        <v>2167.9899999999998</v>
      </c>
      <c r="H9" s="10">
        <f t="shared" si="0"/>
        <v>2504.5790000000002</v>
      </c>
      <c r="I9" s="10">
        <f t="shared" si="0"/>
        <v>2567.8859999999995</v>
      </c>
      <c r="J9" s="10">
        <f t="shared" si="0"/>
        <v>2479.2820000000002</v>
      </c>
      <c r="K9" s="10">
        <f t="shared" si="0"/>
        <v>3294.7710000000002</v>
      </c>
      <c r="L9" s="10">
        <f t="shared" si="0"/>
        <v>3323.7690000000002</v>
      </c>
      <c r="M9" s="10">
        <f t="shared" si="0"/>
        <v>3276.8779999999997</v>
      </c>
      <c r="N9" s="10">
        <f t="shared" si="0"/>
        <v>2469.7430000000004</v>
      </c>
      <c r="O9" s="10">
        <f t="shared" si="0"/>
        <v>3583.0619999999999</v>
      </c>
      <c r="P9" s="10">
        <f t="shared" si="0"/>
        <v>3279.3859999999995</v>
      </c>
      <c r="Q9" s="10">
        <f t="shared" si="0"/>
        <v>3136.924</v>
      </c>
      <c r="R9" s="10">
        <f t="shared" si="0"/>
        <v>2447.893</v>
      </c>
      <c r="S9" s="10">
        <f t="shared" si="0"/>
        <v>3357.8779999999997</v>
      </c>
      <c r="T9" s="10">
        <f t="shared" si="0"/>
        <v>3513.8310000000001</v>
      </c>
      <c r="U9" s="10">
        <f t="shared" si="0"/>
        <v>3610.88</v>
      </c>
      <c r="V9" s="10">
        <f t="shared" si="0"/>
        <v>3525.3400000000011</v>
      </c>
      <c r="W9" s="10">
        <f t="shared" si="0"/>
        <v>4393.3670000000002</v>
      </c>
      <c r="X9" s="10">
        <f t="shared" si="0"/>
        <v>4385.1669999999995</v>
      </c>
      <c r="Y9" s="10">
        <f t="shared" si="0"/>
        <v>4704.8189999999995</v>
      </c>
      <c r="Z9" s="10">
        <f t="shared" si="0"/>
        <v>4479.1490000000013</v>
      </c>
      <c r="AA9" s="10">
        <f t="shared" si="0"/>
        <v>5279.6539999999995</v>
      </c>
      <c r="AB9" s="10">
        <f t="shared" si="0"/>
        <v>5753.8549999999996</v>
      </c>
      <c r="AC9" s="10">
        <f t="shared" si="0"/>
        <v>5346.0570000000007</v>
      </c>
      <c r="AD9" s="10">
        <f t="shared" si="0"/>
        <v>5528.1410000000005</v>
      </c>
      <c r="AE9" s="10">
        <f t="shared" si="0"/>
        <v>6361.5189999999993</v>
      </c>
      <c r="AF9" s="10">
        <f t="shared" si="0"/>
        <v>6522.973</v>
      </c>
    </row>
    <row r="10" spans="1:32" x14ac:dyDescent="0.3">
      <c r="A10" s="4" t="s">
        <v>70</v>
      </c>
      <c r="B10" s="8" t="s">
        <v>71</v>
      </c>
      <c r="C10" s="9">
        <v>616.57799999999997</v>
      </c>
      <c r="D10" s="9">
        <v>603.15</v>
      </c>
      <c r="E10" s="9">
        <v>553.79700000000003</v>
      </c>
      <c r="F10" s="9">
        <v>878.93700000000001</v>
      </c>
      <c r="G10" s="9">
        <v>503.83</v>
      </c>
      <c r="H10" s="9">
        <v>434.37</v>
      </c>
      <c r="I10" s="9">
        <v>527.59699999999998</v>
      </c>
      <c r="J10" s="9">
        <v>762.56500000000005</v>
      </c>
      <c r="K10" s="9">
        <v>512.51199999999994</v>
      </c>
      <c r="L10" s="9">
        <v>603.97299999999996</v>
      </c>
      <c r="M10" s="9">
        <v>635.94799999999998</v>
      </c>
      <c r="N10" s="9">
        <v>792.71299999999997</v>
      </c>
      <c r="O10" s="9">
        <v>555.97799999999995</v>
      </c>
      <c r="P10" s="9">
        <v>574.96</v>
      </c>
      <c r="Q10" s="9">
        <v>567.95399999999995</v>
      </c>
      <c r="R10" s="9">
        <v>831.61</v>
      </c>
      <c r="S10" s="9">
        <v>555.36199999999997</v>
      </c>
      <c r="T10" s="9">
        <v>627.16800000000001</v>
      </c>
      <c r="U10" s="9">
        <v>558.73599999999999</v>
      </c>
      <c r="V10" s="9">
        <v>916.61699999999996</v>
      </c>
      <c r="W10" s="9">
        <v>654.34</v>
      </c>
      <c r="X10" s="9">
        <v>644.08399999999995</v>
      </c>
      <c r="Y10" s="9">
        <v>642.92600000000004</v>
      </c>
      <c r="Z10" s="9">
        <v>976.20399999999995</v>
      </c>
      <c r="AA10" s="9">
        <v>688.37</v>
      </c>
      <c r="AB10" s="9">
        <v>713.26499999999999</v>
      </c>
      <c r="AC10" s="9">
        <v>786.29499999999996</v>
      </c>
      <c r="AD10" s="9">
        <v>1113.376</v>
      </c>
      <c r="AE10" s="9">
        <v>842.21699999999998</v>
      </c>
      <c r="AF10" s="9">
        <v>823.83799999999997</v>
      </c>
    </row>
    <row r="11" spans="1:32" x14ac:dyDescent="0.3">
      <c r="A11" s="4" t="s">
        <v>72</v>
      </c>
      <c r="B11" s="8" t="s">
        <v>73</v>
      </c>
      <c r="C11" s="9">
        <v>372.76400000000001</v>
      </c>
      <c r="D11" s="9">
        <v>383.233</v>
      </c>
      <c r="E11" s="9">
        <v>379.77600000000001</v>
      </c>
      <c r="F11" s="9">
        <v>409.37599999999998</v>
      </c>
      <c r="G11" s="9">
        <v>453.81700000000001</v>
      </c>
      <c r="H11" s="9">
        <v>435.04500000000002</v>
      </c>
      <c r="I11" s="9">
        <v>453.80200000000002</v>
      </c>
      <c r="J11" s="9">
        <v>486.93599999999998</v>
      </c>
      <c r="K11" s="9">
        <v>525.20699999999999</v>
      </c>
      <c r="L11" s="9">
        <v>537.32100000000003</v>
      </c>
      <c r="M11" s="9">
        <v>563.88699999999994</v>
      </c>
      <c r="N11" s="9">
        <v>647.47</v>
      </c>
      <c r="O11" s="9">
        <v>657.53</v>
      </c>
      <c r="P11" s="9">
        <v>716.846</v>
      </c>
      <c r="Q11" s="9">
        <v>662.73900000000003</v>
      </c>
      <c r="R11" s="9">
        <v>673.92600000000004</v>
      </c>
      <c r="S11" s="9">
        <v>687.27499999999998</v>
      </c>
      <c r="T11" s="9">
        <v>657.98299999999995</v>
      </c>
      <c r="U11" s="9">
        <v>657.15899999999999</v>
      </c>
      <c r="V11" s="9">
        <v>673.34100000000001</v>
      </c>
      <c r="W11" s="9">
        <v>702.47299999999996</v>
      </c>
      <c r="X11" s="9">
        <v>711.25400000000002</v>
      </c>
      <c r="Y11" s="9">
        <v>735.06299999999999</v>
      </c>
      <c r="Z11" s="9">
        <v>776.505</v>
      </c>
      <c r="AA11" s="9">
        <v>822.82299999999998</v>
      </c>
      <c r="AB11" s="9">
        <v>824.68299999999999</v>
      </c>
      <c r="AC11" s="9">
        <v>853.58399999999995</v>
      </c>
      <c r="AD11" s="9">
        <v>890.3</v>
      </c>
      <c r="AE11" s="9">
        <v>959.69600000000003</v>
      </c>
      <c r="AF11" s="9">
        <v>1007.675</v>
      </c>
    </row>
    <row r="12" spans="1:32" x14ac:dyDescent="0.3">
      <c r="A12" s="4" t="s">
        <v>74</v>
      </c>
      <c r="B12" s="8" t="s">
        <v>75</v>
      </c>
      <c r="C12" s="9">
        <v>201.952</v>
      </c>
      <c r="D12" s="9">
        <v>224.65700000000001</v>
      </c>
      <c r="E12" s="9">
        <v>233.17400000000001</v>
      </c>
      <c r="F12" s="9">
        <v>254.58600000000001</v>
      </c>
      <c r="G12" s="9">
        <v>252.08699999999999</v>
      </c>
      <c r="H12" s="9">
        <v>277.23599999999999</v>
      </c>
      <c r="I12" s="9">
        <v>271.62400000000002</v>
      </c>
      <c r="J12" s="9">
        <v>275.53899999999999</v>
      </c>
      <c r="K12" s="9">
        <v>297.19600000000003</v>
      </c>
      <c r="L12" s="9">
        <v>334.84500000000003</v>
      </c>
      <c r="M12" s="9">
        <v>321.79000000000002</v>
      </c>
      <c r="N12" s="9">
        <v>397.79</v>
      </c>
      <c r="O12" s="9">
        <v>397.928</v>
      </c>
      <c r="P12" s="9">
        <v>409.29700000000003</v>
      </c>
      <c r="Q12" s="9">
        <v>373.21300000000002</v>
      </c>
      <c r="R12" s="9">
        <v>392.45299999999997</v>
      </c>
      <c r="S12" s="9">
        <v>400.92399999999998</v>
      </c>
      <c r="T12" s="9">
        <v>401.49700000000001</v>
      </c>
      <c r="U12" s="9">
        <v>478.59100000000001</v>
      </c>
      <c r="V12" s="9">
        <v>439.27300000000002</v>
      </c>
      <c r="W12" s="9">
        <v>404.02</v>
      </c>
      <c r="X12" s="9">
        <v>426.99200000000002</v>
      </c>
      <c r="Y12" s="9">
        <v>417.35300000000001</v>
      </c>
      <c r="Z12" s="9">
        <v>453.67399999999998</v>
      </c>
      <c r="AA12" s="9">
        <v>421.46199999999999</v>
      </c>
      <c r="AB12" s="9">
        <v>441.21300000000002</v>
      </c>
      <c r="AC12" s="9">
        <v>457.93099999999998</v>
      </c>
      <c r="AD12" s="9">
        <v>567.80200000000002</v>
      </c>
      <c r="AE12" s="9">
        <v>602.60900000000004</v>
      </c>
      <c r="AF12" s="9">
        <v>498.85</v>
      </c>
    </row>
    <row r="13" spans="1:32" x14ac:dyDescent="0.3">
      <c r="A13" s="4" t="s">
        <v>76</v>
      </c>
      <c r="B13" s="8" t="s">
        <v>77</v>
      </c>
      <c r="C13" s="11">
        <f t="shared" ref="C13:AF13" si="1">C10+C11+C12</f>
        <v>1191.2939999999999</v>
      </c>
      <c r="D13" s="11">
        <f t="shared" si="1"/>
        <v>1211.04</v>
      </c>
      <c r="E13" s="11">
        <f t="shared" si="1"/>
        <v>1166.7470000000001</v>
      </c>
      <c r="F13" s="11">
        <f t="shared" si="1"/>
        <v>1542.8990000000001</v>
      </c>
      <c r="G13" s="11">
        <f t="shared" si="1"/>
        <v>1209.7339999999999</v>
      </c>
      <c r="H13" s="11">
        <f t="shared" si="1"/>
        <v>1146.6509999999998</v>
      </c>
      <c r="I13" s="11">
        <f t="shared" si="1"/>
        <v>1253.0230000000001</v>
      </c>
      <c r="J13" s="11">
        <f t="shared" si="1"/>
        <v>1525.04</v>
      </c>
      <c r="K13" s="11">
        <f t="shared" si="1"/>
        <v>1334.915</v>
      </c>
      <c r="L13" s="11">
        <f t="shared" si="1"/>
        <v>1476.1389999999999</v>
      </c>
      <c r="M13" s="11">
        <f t="shared" si="1"/>
        <v>1521.625</v>
      </c>
      <c r="N13" s="11">
        <f t="shared" si="1"/>
        <v>1837.973</v>
      </c>
      <c r="O13" s="11">
        <f t="shared" si="1"/>
        <v>1611.4359999999997</v>
      </c>
      <c r="P13" s="11">
        <f t="shared" si="1"/>
        <v>1701.1030000000001</v>
      </c>
      <c r="Q13" s="11">
        <f t="shared" si="1"/>
        <v>1603.9059999999999</v>
      </c>
      <c r="R13" s="11">
        <f t="shared" si="1"/>
        <v>1897.989</v>
      </c>
      <c r="S13" s="11">
        <f t="shared" si="1"/>
        <v>1643.5609999999999</v>
      </c>
      <c r="T13" s="11">
        <f t="shared" si="1"/>
        <v>1686.6479999999999</v>
      </c>
      <c r="U13" s="11">
        <f t="shared" si="1"/>
        <v>1694.4859999999999</v>
      </c>
      <c r="V13" s="11">
        <f t="shared" si="1"/>
        <v>2029.2310000000002</v>
      </c>
      <c r="W13" s="11">
        <f t="shared" si="1"/>
        <v>1760.8330000000001</v>
      </c>
      <c r="X13" s="11">
        <f t="shared" si="1"/>
        <v>1782.33</v>
      </c>
      <c r="Y13" s="11">
        <f t="shared" si="1"/>
        <v>1795.3420000000001</v>
      </c>
      <c r="Z13" s="11">
        <f t="shared" si="1"/>
        <v>2206.3829999999998</v>
      </c>
      <c r="AA13" s="11">
        <f t="shared" si="1"/>
        <v>1932.655</v>
      </c>
      <c r="AB13" s="11">
        <f t="shared" si="1"/>
        <v>1979.1609999999998</v>
      </c>
      <c r="AC13" s="11">
        <f t="shared" si="1"/>
        <v>2097.81</v>
      </c>
      <c r="AD13" s="11">
        <f t="shared" si="1"/>
        <v>2571.4780000000001</v>
      </c>
      <c r="AE13" s="11">
        <f t="shared" si="1"/>
        <v>2404.5219999999999</v>
      </c>
      <c r="AF13" s="11">
        <f t="shared" si="1"/>
        <v>2330.3629999999998</v>
      </c>
    </row>
    <row r="14" spans="1:32" x14ac:dyDescent="0.3">
      <c r="A14" s="3" t="s">
        <v>78</v>
      </c>
      <c r="B14" s="8" t="s">
        <v>79</v>
      </c>
      <c r="C14" s="10">
        <f t="shared" ref="C14:AF14" si="2">C9-C13</f>
        <v>459.08400000000029</v>
      </c>
      <c r="D14" s="10">
        <f t="shared" si="2"/>
        <v>706.41899999999987</v>
      </c>
      <c r="E14" s="10">
        <f t="shared" si="2"/>
        <v>980.23899999999981</v>
      </c>
      <c r="F14" s="10">
        <f t="shared" si="2"/>
        <v>458.51199999999994</v>
      </c>
      <c r="G14" s="10">
        <f t="shared" si="2"/>
        <v>958.25599999999986</v>
      </c>
      <c r="H14" s="10">
        <f t="shared" si="2"/>
        <v>1357.9280000000003</v>
      </c>
      <c r="I14" s="10">
        <f t="shared" si="2"/>
        <v>1314.8629999999994</v>
      </c>
      <c r="J14" s="10">
        <f t="shared" si="2"/>
        <v>954.24200000000019</v>
      </c>
      <c r="K14" s="10">
        <f t="shared" si="2"/>
        <v>1959.8560000000002</v>
      </c>
      <c r="L14" s="10">
        <f t="shared" si="2"/>
        <v>1847.6300000000003</v>
      </c>
      <c r="M14" s="10">
        <f t="shared" si="2"/>
        <v>1755.2529999999997</v>
      </c>
      <c r="N14" s="10">
        <f t="shared" si="2"/>
        <v>631.77000000000044</v>
      </c>
      <c r="O14" s="10">
        <f t="shared" si="2"/>
        <v>1971.6260000000002</v>
      </c>
      <c r="P14" s="10">
        <f t="shared" si="2"/>
        <v>1578.2829999999994</v>
      </c>
      <c r="Q14" s="10">
        <f t="shared" si="2"/>
        <v>1533.018</v>
      </c>
      <c r="R14" s="10">
        <f t="shared" si="2"/>
        <v>549.904</v>
      </c>
      <c r="S14" s="10">
        <f t="shared" si="2"/>
        <v>1714.3169999999998</v>
      </c>
      <c r="T14" s="10">
        <f t="shared" si="2"/>
        <v>1827.1830000000002</v>
      </c>
      <c r="U14" s="10">
        <f t="shared" si="2"/>
        <v>1916.3940000000002</v>
      </c>
      <c r="V14" s="10">
        <f t="shared" si="2"/>
        <v>1496.1090000000008</v>
      </c>
      <c r="W14" s="10">
        <f t="shared" si="2"/>
        <v>2632.5340000000001</v>
      </c>
      <c r="X14" s="10">
        <f t="shared" si="2"/>
        <v>2602.8369999999995</v>
      </c>
      <c r="Y14" s="10">
        <f t="shared" si="2"/>
        <v>2909.4769999999994</v>
      </c>
      <c r="Z14" s="10">
        <f t="shared" si="2"/>
        <v>2272.7660000000014</v>
      </c>
      <c r="AA14" s="10">
        <f t="shared" si="2"/>
        <v>3346.9989999999998</v>
      </c>
      <c r="AB14" s="10">
        <f t="shared" si="2"/>
        <v>3774.6939999999995</v>
      </c>
      <c r="AC14" s="10">
        <f t="shared" si="2"/>
        <v>3248.2470000000008</v>
      </c>
      <c r="AD14" s="10">
        <f t="shared" si="2"/>
        <v>2956.6630000000005</v>
      </c>
      <c r="AE14" s="10">
        <f t="shared" si="2"/>
        <v>3956.9969999999994</v>
      </c>
      <c r="AF14" s="10">
        <f t="shared" si="2"/>
        <v>4192.6100000000006</v>
      </c>
    </row>
    <row r="15" spans="1:32" x14ac:dyDescent="0.3">
      <c r="A15" s="4" t="s">
        <v>80</v>
      </c>
      <c r="B15" s="8" t="s">
        <v>81</v>
      </c>
      <c r="C15" s="9">
        <v>135.529</v>
      </c>
      <c r="D15" s="9">
        <v>152.03299999999999</v>
      </c>
      <c r="E15" s="9">
        <v>160.66</v>
      </c>
      <c r="F15" s="9">
        <v>177.80099999999999</v>
      </c>
      <c r="G15" s="9">
        <v>184.083</v>
      </c>
      <c r="H15" s="9">
        <v>189.15100000000001</v>
      </c>
      <c r="I15" s="9">
        <v>197.07900000000001</v>
      </c>
      <c r="J15" s="9">
        <v>197.18600000000001</v>
      </c>
      <c r="K15" s="9">
        <v>194.44</v>
      </c>
      <c r="L15" s="9">
        <v>191.322</v>
      </c>
      <c r="M15" s="9">
        <v>190.429</v>
      </c>
      <c r="N15" s="9">
        <v>189.429</v>
      </c>
      <c r="O15" s="9">
        <v>187.57900000000001</v>
      </c>
      <c r="P15" s="9">
        <v>175.45500000000001</v>
      </c>
      <c r="Q15" s="9">
        <v>172.57499999999999</v>
      </c>
      <c r="R15" s="9">
        <v>170.60300000000001</v>
      </c>
      <c r="S15" s="9">
        <v>174.239</v>
      </c>
      <c r="T15" s="9">
        <v>174.81200000000001</v>
      </c>
      <c r="U15" s="9">
        <v>175.56299999999999</v>
      </c>
      <c r="V15" s="9">
        <v>175.21199999999999</v>
      </c>
      <c r="W15" s="9">
        <v>173.31399999999999</v>
      </c>
      <c r="X15" s="9">
        <v>167.98599999999999</v>
      </c>
      <c r="Y15" s="9">
        <v>184.83</v>
      </c>
      <c r="Z15" s="9">
        <v>192.60300000000001</v>
      </c>
      <c r="AA15" s="9">
        <v>184.172</v>
      </c>
      <c r="AB15" s="9">
        <v>182.649</v>
      </c>
      <c r="AC15" s="9">
        <v>175.29400000000001</v>
      </c>
      <c r="AD15" s="9">
        <v>234.39500000000001</v>
      </c>
      <c r="AE15" s="9">
        <v>262.077</v>
      </c>
      <c r="AF15" s="9">
        <v>175.685</v>
      </c>
    </row>
    <row r="16" spans="1:32" x14ac:dyDescent="0.3">
      <c r="A16" s="4" t="s">
        <v>82</v>
      </c>
      <c r="B16" s="8" t="s">
        <v>83</v>
      </c>
      <c r="C16" s="9">
        <v>76.103999999999999</v>
      </c>
      <c r="D16" s="9">
        <v>-53.47</v>
      </c>
      <c r="E16" s="9">
        <v>192.744</v>
      </c>
      <c r="F16" s="9">
        <v>-131.37799999999999</v>
      </c>
      <c r="G16" s="9">
        <v>21.696999999999999</v>
      </c>
      <c r="H16" s="9">
        <v>-133.17500000000001</v>
      </c>
      <c r="I16" s="9">
        <v>-256.32400000000001</v>
      </c>
      <c r="J16" s="9">
        <v>-250.63900000000001</v>
      </c>
      <c r="K16" s="9">
        <v>269.08600000000001</v>
      </c>
      <c r="L16" s="9">
        <v>-62.518999999999998</v>
      </c>
      <c r="M16" s="9">
        <v>96.135000000000005</v>
      </c>
      <c r="N16" s="9">
        <v>108.512</v>
      </c>
      <c r="O16" s="9">
        <v>195.64500000000001</v>
      </c>
      <c r="P16" s="9">
        <v>220.226</v>
      </c>
      <c r="Q16" s="9">
        <v>261.404</v>
      </c>
      <c r="R16" s="9">
        <v>-339.96499999999997</v>
      </c>
      <c r="S16" s="9">
        <v>-71.203999999999994</v>
      </c>
      <c r="T16" s="9">
        <v>26.960999999999999</v>
      </c>
      <c r="U16" s="9">
        <v>168.21799999999999</v>
      </c>
      <c r="V16" s="9">
        <v>-172.74700000000001</v>
      </c>
      <c r="W16" s="9">
        <v>155.35900000000001</v>
      </c>
      <c r="X16" s="9">
        <v>79.004999999999995</v>
      </c>
      <c r="Y16" s="9">
        <v>-21.693000000000001</v>
      </c>
      <c r="Z16" s="9">
        <v>54.104999999999997</v>
      </c>
      <c r="AA16" s="9">
        <v>50.899000000000001</v>
      </c>
      <c r="AB16" s="9">
        <v>39.630000000000003</v>
      </c>
      <c r="AC16" s="9">
        <v>36.457000000000001</v>
      </c>
      <c r="AD16" s="9">
        <v>45.472999999999999</v>
      </c>
      <c r="AE16" s="9">
        <v>2852.1660000000002</v>
      </c>
      <c r="AF16" s="9">
        <v>51.661000000000001</v>
      </c>
    </row>
    <row r="17" spans="1:32" x14ac:dyDescent="0.3">
      <c r="A17" s="3" t="s">
        <v>84</v>
      </c>
      <c r="B17" s="8" t="s">
        <v>85</v>
      </c>
      <c r="C17" s="10">
        <f t="shared" ref="C17:AF17" si="3">C14-C15+C16</f>
        <v>399.65900000000028</v>
      </c>
      <c r="D17" s="10">
        <f t="shared" si="3"/>
        <v>500.91599999999983</v>
      </c>
      <c r="E17" s="10">
        <f t="shared" si="3"/>
        <v>1012.3229999999999</v>
      </c>
      <c r="F17" s="10">
        <f t="shared" si="3"/>
        <v>149.33299999999997</v>
      </c>
      <c r="G17" s="10">
        <f t="shared" si="3"/>
        <v>795.86999999999989</v>
      </c>
      <c r="H17" s="10">
        <f t="shared" si="3"/>
        <v>1035.6020000000003</v>
      </c>
      <c r="I17" s="10">
        <f t="shared" si="3"/>
        <v>861.45999999999935</v>
      </c>
      <c r="J17" s="10">
        <f t="shared" si="3"/>
        <v>506.41700000000014</v>
      </c>
      <c r="K17" s="10">
        <f t="shared" si="3"/>
        <v>2034.5020000000002</v>
      </c>
      <c r="L17" s="10">
        <f t="shared" si="3"/>
        <v>1593.7890000000004</v>
      </c>
      <c r="M17" s="10">
        <f t="shared" si="3"/>
        <v>1660.9589999999996</v>
      </c>
      <c r="N17" s="10">
        <f t="shared" si="3"/>
        <v>550.85300000000052</v>
      </c>
      <c r="O17" s="10">
        <f t="shared" si="3"/>
        <v>1979.6920000000002</v>
      </c>
      <c r="P17" s="10">
        <f t="shared" si="3"/>
        <v>1623.0539999999996</v>
      </c>
      <c r="Q17" s="10">
        <f t="shared" si="3"/>
        <v>1621.847</v>
      </c>
      <c r="R17" s="10">
        <f t="shared" si="3"/>
        <v>39.336000000000013</v>
      </c>
      <c r="S17" s="10">
        <f t="shared" si="3"/>
        <v>1468.8739999999998</v>
      </c>
      <c r="T17" s="10">
        <f t="shared" si="3"/>
        <v>1679.3320000000001</v>
      </c>
      <c r="U17" s="10">
        <f t="shared" si="3"/>
        <v>1909.0490000000002</v>
      </c>
      <c r="V17" s="10">
        <f t="shared" si="3"/>
        <v>1148.1500000000008</v>
      </c>
      <c r="W17" s="10">
        <f t="shared" si="3"/>
        <v>2614.5790000000002</v>
      </c>
      <c r="X17" s="10">
        <f t="shared" si="3"/>
        <v>2513.8559999999998</v>
      </c>
      <c r="Y17" s="10">
        <f t="shared" si="3"/>
        <v>2702.9539999999993</v>
      </c>
      <c r="Z17" s="10">
        <f t="shared" si="3"/>
        <v>2134.2680000000014</v>
      </c>
      <c r="AA17" s="10">
        <f t="shared" si="3"/>
        <v>3213.7259999999997</v>
      </c>
      <c r="AB17" s="10">
        <f t="shared" si="3"/>
        <v>3631.6749999999997</v>
      </c>
      <c r="AC17" s="10">
        <f t="shared" si="3"/>
        <v>3109.4100000000008</v>
      </c>
      <c r="AD17" s="10">
        <f t="shared" si="3"/>
        <v>2767.7410000000004</v>
      </c>
      <c r="AE17" s="10">
        <f t="shared" si="3"/>
        <v>6547.0859999999993</v>
      </c>
      <c r="AF17" s="10">
        <f t="shared" si="3"/>
        <v>4068.5860000000007</v>
      </c>
    </row>
    <row r="18" spans="1:32" x14ac:dyDescent="0.3">
      <c r="A18" s="4" t="s">
        <v>86</v>
      </c>
      <c r="B18" s="8" t="s">
        <v>87</v>
      </c>
      <c r="C18" s="9">
        <v>55.606999999999999</v>
      </c>
      <c r="D18" s="9">
        <v>230.26599999999999</v>
      </c>
      <c r="E18" s="9">
        <v>347.07900000000001</v>
      </c>
      <c r="F18" s="9">
        <v>-437.637</v>
      </c>
      <c r="G18" s="9">
        <v>86.802999999999997</v>
      </c>
      <c r="H18" s="9">
        <v>315.40600000000001</v>
      </c>
      <c r="I18" s="9">
        <v>71.483999999999995</v>
      </c>
      <c r="J18" s="9">
        <v>-35.738999999999997</v>
      </c>
      <c r="K18" s="9">
        <v>327.78699999999998</v>
      </c>
      <c r="L18" s="9">
        <v>240.77600000000001</v>
      </c>
      <c r="M18" s="9">
        <v>211.88800000000001</v>
      </c>
      <c r="N18" s="9">
        <v>-56.576000000000001</v>
      </c>
      <c r="O18" s="9">
        <v>382.245</v>
      </c>
      <c r="P18" s="9">
        <v>182.10300000000001</v>
      </c>
      <c r="Q18" s="9">
        <v>223.60499999999999</v>
      </c>
      <c r="R18" s="9">
        <v>-15.948</v>
      </c>
      <c r="S18" s="9">
        <v>163.75399999999999</v>
      </c>
      <c r="T18" s="9">
        <v>191.72200000000001</v>
      </c>
      <c r="U18" s="9">
        <v>231.62700000000001</v>
      </c>
      <c r="V18" s="9">
        <v>210.31200000000001</v>
      </c>
      <c r="W18" s="9">
        <v>282.37</v>
      </c>
      <c r="X18" s="9">
        <v>366.55</v>
      </c>
      <c r="Y18" s="9">
        <v>339.44499999999999</v>
      </c>
      <c r="Z18" s="9">
        <v>265.661</v>
      </c>
      <c r="AA18" s="9">
        <v>323.375</v>
      </c>
      <c r="AB18" s="9">
        <v>506.262</v>
      </c>
      <c r="AC18" s="9">
        <v>562.49400000000003</v>
      </c>
      <c r="AD18" s="9">
        <v>349.22</v>
      </c>
      <c r="AE18" s="9">
        <v>1264.2950000000001</v>
      </c>
      <c r="AF18" s="9">
        <v>667.17200000000003</v>
      </c>
    </row>
    <row r="19" spans="1:32" x14ac:dyDescent="0.3">
      <c r="A19" s="3" t="s">
        <v>88</v>
      </c>
      <c r="B19" s="8" t="s">
        <v>89</v>
      </c>
      <c r="C19" s="10">
        <f t="shared" ref="C19:AF19" si="4">C17-C18</f>
        <v>344.05200000000025</v>
      </c>
      <c r="D19" s="10">
        <f t="shared" si="4"/>
        <v>270.64999999999986</v>
      </c>
      <c r="E19" s="10">
        <f t="shared" si="4"/>
        <v>665.24399999999991</v>
      </c>
      <c r="F19" s="10">
        <f t="shared" si="4"/>
        <v>586.97</v>
      </c>
      <c r="G19" s="10">
        <f t="shared" si="4"/>
        <v>709.06699999999989</v>
      </c>
      <c r="H19" s="10">
        <f t="shared" si="4"/>
        <v>720.19600000000037</v>
      </c>
      <c r="I19" s="10">
        <f t="shared" si="4"/>
        <v>789.97599999999932</v>
      </c>
      <c r="J19" s="10">
        <f t="shared" si="4"/>
        <v>542.15600000000018</v>
      </c>
      <c r="K19" s="10">
        <f t="shared" si="4"/>
        <v>1706.7150000000001</v>
      </c>
      <c r="L19" s="10">
        <f t="shared" si="4"/>
        <v>1353.0130000000004</v>
      </c>
      <c r="M19" s="10">
        <f t="shared" si="4"/>
        <v>1449.0709999999997</v>
      </c>
      <c r="N19" s="10">
        <f t="shared" si="4"/>
        <v>607.42900000000054</v>
      </c>
      <c r="O19" s="10">
        <f t="shared" si="4"/>
        <v>1597.4470000000001</v>
      </c>
      <c r="P19" s="10">
        <f t="shared" si="4"/>
        <v>1440.9509999999996</v>
      </c>
      <c r="Q19" s="10">
        <f t="shared" si="4"/>
        <v>1398.242</v>
      </c>
      <c r="R19" s="10">
        <f t="shared" si="4"/>
        <v>55.284000000000013</v>
      </c>
      <c r="S19" s="10">
        <f t="shared" si="4"/>
        <v>1305.1199999999999</v>
      </c>
      <c r="T19" s="10">
        <f t="shared" si="4"/>
        <v>1487.6100000000001</v>
      </c>
      <c r="U19" s="10">
        <f t="shared" si="4"/>
        <v>1677.4220000000003</v>
      </c>
      <c r="V19" s="10">
        <f t="shared" si="4"/>
        <v>937.83800000000076</v>
      </c>
      <c r="W19" s="10">
        <f t="shared" si="4"/>
        <v>2332.2090000000003</v>
      </c>
      <c r="X19" s="10">
        <f t="shared" si="4"/>
        <v>2147.3059999999996</v>
      </c>
      <c r="Y19" s="10">
        <f t="shared" si="4"/>
        <v>2363.5089999999991</v>
      </c>
      <c r="Z19" s="10">
        <f t="shared" si="4"/>
        <v>1868.6070000000013</v>
      </c>
      <c r="AA19" s="10">
        <f t="shared" si="4"/>
        <v>2890.3509999999997</v>
      </c>
      <c r="AB19" s="10">
        <f t="shared" si="4"/>
        <v>3125.4129999999996</v>
      </c>
      <c r="AC19" s="10">
        <f t="shared" si="4"/>
        <v>2546.9160000000006</v>
      </c>
      <c r="AD19" s="10">
        <f t="shared" si="4"/>
        <v>2418.5210000000006</v>
      </c>
      <c r="AE19" s="10">
        <f t="shared" si="4"/>
        <v>5282.7909999999993</v>
      </c>
      <c r="AF19" s="10">
        <f t="shared" si="4"/>
        <v>3401.4140000000007</v>
      </c>
    </row>
    <row r="21" spans="1:32" x14ac:dyDescent="0.3">
      <c r="A21" s="6" t="s">
        <v>90</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x14ac:dyDescent="0.3">
      <c r="A22" s="4" t="s">
        <v>91</v>
      </c>
      <c r="B22" s="8" t="s">
        <v>92</v>
      </c>
      <c r="C22" s="12">
        <f>C14-459.084</f>
        <v>0</v>
      </c>
      <c r="D22" s="12">
        <f>D14-706.419</f>
        <v>0</v>
      </c>
      <c r="E22" s="12">
        <f>E14-980.239</f>
        <v>0</v>
      </c>
      <c r="F22" s="12">
        <f>F14-458.512</f>
        <v>0</v>
      </c>
      <c r="G22" s="12">
        <f>G14-958.256</f>
        <v>0</v>
      </c>
      <c r="H22" s="12">
        <f>H14-1357.928</f>
        <v>0</v>
      </c>
      <c r="I22" s="12">
        <f>I14-1314.863</f>
        <v>0</v>
      </c>
      <c r="J22" s="12">
        <f>J14-954.242</f>
        <v>0</v>
      </c>
      <c r="K22" s="12">
        <f>K14-1959.856</f>
        <v>0</v>
      </c>
      <c r="L22" s="12">
        <f>L14-1847.63</f>
        <v>0</v>
      </c>
      <c r="M22" s="12">
        <f>M14-1755.253</f>
        <v>0</v>
      </c>
      <c r="N22" s="12">
        <f>N14-631.77</f>
        <v>0</v>
      </c>
      <c r="O22" s="12">
        <f>O14-1971.626</f>
        <v>0</v>
      </c>
      <c r="P22" s="12">
        <f>P14-1578.283</f>
        <v>0</v>
      </c>
      <c r="Q22" s="12">
        <f>Q14-1533.018</f>
        <v>0</v>
      </c>
      <c r="R22" s="12">
        <f>R14-549.904</f>
        <v>0</v>
      </c>
      <c r="S22" s="12">
        <f>S14-1714.317</f>
        <v>0</v>
      </c>
      <c r="T22" s="12">
        <f>T14-1827.183</f>
        <v>0</v>
      </c>
      <c r="U22" s="12">
        <f>U14-1916.394</f>
        <v>0</v>
      </c>
      <c r="V22" s="12">
        <f>V14-1496.109</f>
        <v>0</v>
      </c>
      <c r="W22" s="12">
        <f>W14-2632.534</f>
        <v>0</v>
      </c>
      <c r="X22" s="12">
        <f>X14-2602.837</f>
        <v>0</v>
      </c>
      <c r="Y22" s="12">
        <f>Y14-2909.477</f>
        <v>0</v>
      </c>
      <c r="Z22" s="12">
        <f>Z14-2272.766</f>
        <v>0</v>
      </c>
      <c r="AA22" s="12">
        <f>AA14-3346.999</f>
        <v>0</v>
      </c>
      <c r="AB22" s="12">
        <f>AB14-3774.694</f>
        <v>0</v>
      </c>
      <c r="AC22" s="12">
        <f>AC14-3248.247</f>
        <v>0</v>
      </c>
      <c r="AD22" s="12">
        <f>AD14-2956.663</f>
        <v>0</v>
      </c>
      <c r="AE22" s="12">
        <f>AE14-3956.997</f>
        <v>0</v>
      </c>
      <c r="AF22" s="12">
        <f>AF14-4192.61</f>
        <v>0</v>
      </c>
    </row>
    <row r="23" spans="1:32" x14ac:dyDescent="0.3">
      <c r="A23" s="4" t="s">
        <v>93</v>
      </c>
      <c r="B23" s="8" t="s">
        <v>94</v>
      </c>
      <c r="C23" s="12">
        <f>C17-399.659</f>
        <v>0</v>
      </c>
      <c r="D23" s="12">
        <f>D17-500.916</f>
        <v>0</v>
      </c>
      <c r="E23" s="12">
        <f>E17-1012.323</f>
        <v>0</v>
      </c>
      <c r="F23" s="12">
        <f>F17-149.333</f>
        <v>0</v>
      </c>
      <c r="G23" s="12">
        <f>G17-795.87</f>
        <v>0</v>
      </c>
      <c r="H23" s="12">
        <f>H17-1035.602</f>
        <v>0</v>
      </c>
      <c r="I23" s="12">
        <f>I17-861.46</f>
        <v>0</v>
      </c>
      <c r="J23" s="12">
        <f>J17-506.417</f>
        <v>0</v>
      </c>
      <c r="K23" s="12">
        <f>K17-2034.502</f>
        <v>0</v>
      </c>
      <c r="L23" s="12">
        <f>L17-1593.789</f>
        <v>0</v>
      </c>
      <c r="M23" s="12">
        <f>M17-1660.959</f>
        <v>0</v>
      </c>
      <c r="N23" s="12">
        <f>N17-550.853</f>
        <v>0</v>
      </c>
      <c r="O23" s="12">
        <f>O17-1979.692</f>
        <v>0</v>
      </c>
      <c r="P23" s="12">
        <f>P17-1623.054</f>
        <v>0</v>
      </c>
      <c r="Q23" s="12">
        <f>Q17-1621.847</f>
        <v>0</v>
      </c>
      <c r="R23" s="12">
        <f>R17-39.336</f>
        <v>0</v>
      </c>
      <c r="S23" s="12">
        <f>S17-1468.874</f>
        <v>0</v>
      </c>
      <c r="T23" s="12">
        <f>T17-1679.332</f>
        <v>0</v>
      </c>
      <c r="U23" s="12">
        <f>U17-1909.049</f>
        <v>0</v>
      </c>
      <c r="V23" s="12">
        <f>V17-1148.15</f>
        <v>0</v>
      </c>
      <c r="W23" s="12">
        <f>W17-2614.579</f>
        <v>0</v>
      </c>
      <c r="X23" s="12">
        <f>X17-2513.856</f>
        <v>0</v>
      </c>
      <c r="Y23" s="12">
        <f>Y17-2702.954</f>
        <v>0</v>
      </c>
      <c r="Z23" s="12">
        <f>Z17-2134.268</f>
        <v>0</v>
      </c>
      <c r="AA23" s="12">
        <f>AA17-3213.726</f>
        <v>0</v>
      </c>
      <c r="AB23" s="12">
        <f>AB17-3631.675</f>
        <v>0</v>
      </c>
      <c r="AC23" s="12">
        <f>AC17-3109.41</f>
        <v>0</v>
      </c>
      <c r="AD23" s="12">
        <f>AD17-2767.741</f>
        <v>0</v>
      </c>
      <c r="AE23" s="12">
        <f>AE17-6547.086</f>
        <v>0</v>
      </c>
      <c r="AF23" s="12">
        <f>AF17-4068.586</f>
        <v>0</v>
      </c>
    </row>
    <row r="24" spans="1:32" x14ac:dyDescent="0.3">
      <c r="A24" s="4" t="s">
        <v>95</v>
      </c>
      <c r="B24" s="8" t="s">
        <v>96</v>
      </c>
      <c r="C24" s="12">
        <f>C19-344.052</f>
        <v>0</v>
      </c>
      <c r="D24" s="12">
        <f>D19-270.65</f>
        <v>0</v>
      </c>
      <c r="E24" s="12">
        <f>E19-665.244</f>
        <v>0</v>
      </c>
      <c r="F24" s="12">
        <f>F19-586.97</f>
        <v>0</v>
      </c>
      <c r="G24" s="12">
        <f>G19-709.067</f>
        <v>0</v>
      </c>
      <c r="H24" s="12">
        <f>H19-720.196</f>
        <v>0</v>
      </c>
      <c r="I24" s="12">
        <f>I19-789.976</f>
        <v>0</v>
      </c>
      <c r="J24" s="12">
        <f>J19-542.156</f>
        <v>0</v>
      </c>
      <c r="K24" s="12">
        <f>K19-1706.715</f>
        <v>0</v>
      </c>
      <c r="L24" s="12">
        <f>L19-1353.013</f>
        <v>0</v>
      </c>
      <c r="M24" s="12">
        <f>M19-1449.071</f>
        <v>0</v>
      </c>
      <c r="N24" s="12">
        <f>N19-607.429</f>
        <v>0</v>
      </c>
      <c r="O24" s="12">
        <f>O19-1597.447</f>
        <v>0</v>
      </c>
      <c r="P24" s="12">
        <f>P19-1440.951</f>
        <v>0</v>
      </c>
      <c r="Q24" s="12">
        <f>Q19-1398.242</f>
        <v>0</v>
      </c>
      <c r="R24" s="12">
        <f>R19-55.284</f>
        <v>0</v>
      </c>
      <c r="S24" s="12">
        <f>S19-1305.12</f>
        <v>0</v>
      </c>
      <c r="T24" s="12">
        <f>T19-1487.61</f>
        <v>0</v>
      </c>
      <c r="U24" s="12">
        <f>U19-1677.422</f>
        <v>0</v>
      </c>
      <c r="V24" s="12">
        <f>V19-937.838</f>
        <v>0</v>
      </c>
      <c r="W24" s="12">
        <f>W19-2332.209</f>
        <v>0</v>
      </c>
      <c r="X24" s="12">
        <f>X19-2147.306</f>
        <v>0</v>
      </c>
      <c r="Y24" s="12">
        <f>Y19-2363.509</f>
        <v>0</v>
      </c>
      <c r="Z24" s="12">
        <f>Z19-1868.607</f>
        <v>0</v>
      </c>
      <c r="AA24" s="12">
        <f>AA19-2890.351</f>
        <v>0</v>
      </c>
      <c r="AB24" s="12">
        <f>AB19-3125.413</f>
        <v>0</v>
      </c>
      <c r="AC24" s="12">
        <f>AC19-2546.916</f>
        <v>0</v>
      </c>
      <c r="AD24" s="12">
        <f>AD19-2418.521</f>
        <v>0</v>
      </c>
      <c r="AE24" s="12">
        <f>AE19-5282.791</f>
        <v>0</v>
      </c>
      <c r="AF24" s="12">
        <f>AF19-3401.414</f>
        <v>0</v>
      </c>
    </row>
    <row r="26" spans="1:32" x14ac:dyDescent="0.3">
      <c r="A26" s="6" t="s">
        <v>97</v>
      </c>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1:32" x14ac:dyDescent="0.3">
      <c r="A27" s="4" t="s">
        <v>98</v>
      </c>
      <c r="B27" s="8" t="s">
        <v>99</v>
      </c>
      <c r="C27" s="9">
        <v>57.6</v>
      </c>
      <c r="D27" s="9">
        <v>-61.283999999999999</v>
      </c>
      <c r="E27" s="9">
        <v>171.36</v>
      </c>
      <c r="F27" s="9">
        <v>-122.1</v>
      </c>
      <c r="G27" s="9">
        <v>93.06</v>
      </c>
      <c r="H27" s="9">
        <v>-119.161</v>
      </c>
      <c r="I27" s="9">
        <v>-249.19399999999999</v>
      </c>
      <c r="J27" s="9">
        <v>-257.983</v>
      </c>
      <c r="K27" s="9">
        <v>253.33</v>
      </c>
      <c r="L27" s="9">
        <v>-63.073999999999998</v>
      </c>
      <c r="M27" s="9">
        <v>136.488</v>
      </c>
      <c r="N27" s="9">
        <v>103.917</v>
      </c>
      <c r="O27" s="9">
        <v>161.821</v>
      </c>
      <c r="P27" s="9">
        <v>304.51299999999998</v>
      </c>
      <c r="Q27" s="9">
        <v>348.45800000000003</v>
      </c>
      <c r="R27" s="9">
        <v>-461.68099999999998</v>
      </c>
      <c r="S27" s="9">
        <v>-80.650999999999996</v>
      </c>
      <c r="T27" s="9">
        <v>-28.952000000000002</v>
      </c>
      <c r="U27" s="9">
        <v>172.678</v>
      </c>
      <c r="V27" s="9">
        <v>-239.37100000000001</v>
      </c>
      <c r="W27" s="9">
        <v>130.80099999999999</v>
      </c>
      <c r="X27" s="9">
        <v>42.692</v>
      </c>
      <c r="Y27" s="9">
        <v>-104.809</v>
      </c>
      <c r="Z27" s="9">
        <v>52.854999999999997</v>
      </c>
      <c r="AA27" s="9">
        <v>-28.547000000000001</v>
      </c>
      <c r="AB27" s="9">
        <v>-55.238</v>
      </c>
      <c r="AC27" s="9">
        <v>1.7070000000000001</v>
      </c>
      <c r="AD27" s="9">
        <v>9.73</v>
      </c>
      <c r="AE27" s="9">
        <v>10.11</v>
      </c>
      <c r="AF27" s="9">
        <v>8.8130000000000006</v>
      </c>
    </row>
    <row r="28" spans="1:32" x14ac:dyDescent="0.3">
      <c r="A28" s="4" t="s">
        <v>100</v>
      </c>
      <c r="B28" s="8" t="s">
        <v>101</v>
      </c>
      <c r="C28" s="9">
        <v>2124.6860000000001</v>
      </c>
      <c r="D28" s="9">
        <v>2231.915</v>
      </c>
      <c r="E28" s="9">
        <v>2279.9769999999999</v>
      </c>
      <c r="F28" s="9">
        <v>2579.6689999999999</v>
      </c>
      <c r="G28" s="9">
        <v>2483.3850000000002</v>
      </c>
      <c r="H28" s="9">
        <v>2607.1590000000001</v>
      </c>
      <c r="I28" s="9">
        <v>2733.7429999999999</v>
      </c>
      <c r="J28" s="9">
        <v>2982.625</v>
      </c>
      <c r="K28" s="9">
        <v>2719.1959999999999</v>
      </c>
      <c r="L28" s="9">
        <v>2806.8029999999999</v>
      </c>
      <c r="M28" s="9">
        <v>2963.0509999999999</v>
      </c>
      <c r="N28" s="9">
        <v>3741.317</v>
      </c>
      <c r="O28" s="9">
        <v>3166.3649999999998</v>
      </c>
      <c r="P28" s="9">
        <v>3261.348</v>
      </c>
      <c r="Q28" s="9">
        <v>3653.5920000000001</v>
      </c>
      <c r="R28" s="9">
        <v>3944.8270000000002</v>
      </c>
      <c r="S28" s="9">
        <v>3459.9839999999999</v>
      </c>
      <c r="T28" s="9">
        <v>3410.0210000000002</v>
      </c>
      <c r="U28" s="9">
        <v>3573.3530000000001</v>
      </c>
      <c r="V28" s="9">
        <v>3754.0790000000002</v>
      </c>
      <c r="W28" s="9">
        <v>3670.8049999999998</v>
      </c>
      <c r="X28" s="9">
        <v>3769.69</v>
      </c>
      <c r="Y28" s="9">
        <v>3699.5210000000002</v>
      </c>
      <c r="Z28" s="9">
        <v>4161.5010000000002</v>
      </c>
      <c r="AA28" s="9">
        <v>3823.1120000000001</v>
      </c>
      <c r="AB28" s="9">
        <v>3832.0740000000001</v>
      </c>
      <c r="AC28" s="9">
        <v>4002.7440000000001</v>
      </c>
      <c r="AD28" s="9">
        <v>4764.2359999999999</v>
      </c>
      <c r="AE28" s="9">
        <v>4217.8999999999996</v>
      </c>
      <c r="AF28" s="9">
        <v>4311.3090000000002</v>
      </c>
    </row>
    <row r="29" spans="1:32" x14ac:dyDescent="0.3">
      <c r="A29" s="4" t="s">
        <v>102</v>
      </c>
      <c r="B29" s="8" t="s">
        <v>103</v>
      </c>
      <c r="C29" s="9">
        <v>23.561</v>
      </c>
      <c r="D29" s="9">
        <v>25.495999999999999</v>
      </c>
      <c r="E29" s="9">
        <v>26.704000000000001</v>
      </c>
      <c r="F29" s="9">
        <v>27.818000000000001</v>
      </c>
      <c r="G29" s="9">
        <v>28.516999999999999</v>
      </c>
      <c r="H29" s="9">
        <v>26.661000000000001</v>
      </c>
      <c r="I29" s="9">
        <v>28.588999999999999</v>
      </c>
      <c r="J29" s="9">
        <v>31.943000000000001</v>
      </c>
      <c r="K29" s="9">
        <v>35.741</v>
      </c>
      <c r="L29" s="9">
        <v>38.433999999999997</v>
      </c>
      <c r="M29" s="9">
        <v>70.253</v>
      </c>
      <c r="N29" s="9">
        <v>63.984000000000002</v>
      </c>
      <c r="O29" s="9">
        <v>74.602000000000004</v>
      </c>
      <c r="P29" s="9">
        <v>83.504999999999995</v>
      </c>
      <c r="Q29" s="9">
        <v>85.188000000000002</v>
      </c>
      <c r="R29" s="9">
        <v>93.387</v>
      </c>
      <c r="S29" s="9">
        <v>90.334999999999994</v>
      </c>
      <c r="T29" s="9">
        <v>89.385000000000005</v>
      </c>
      <c r="U29" s="9">
        <v>90.66</v>
      </c>
      <c r="V29" s="9">
        <v>86.566999999999993</v>
      </c>
      <c r="W29" s="9">
        <v>87.233999999999995</v>
      </c>
      <c r="X29" s="9">
        <v>81.227000000000004</v>
      </c>
      <c r="Y29" s="9">
        <v>80.914000000000001</v>
      </c>
      <c r="Z29" s="9">
        <v>79.539000000000001</v>
      </c>
      <c r="AA29" s="9">
        <v>80.066999999999993</v>
      </c>
      <c r="AB29" s="9">
        <v>80.013000000000005</v>
      </c>
      <c r="AC29" s="9">
        <v>87.325999999999993</v>
      </c>
      <c r="AD29" s="9">
        <v>85.983000000000004</v>
      </c>
      <c r="AE29" s="9">
        <v>98.575000000000003</v>
      </c>
      <c r="AF29" s="9">
        <v>100.53</v>
      </c>
    </row>
    <row r="30" spans="1:32" x14ac:dyDescent="0.3">
      <c r="A30" s="3" t="s">
        <v>104</v>
      </c>
      <c r="B30" s="8" t="s">
        <v>105</v>
      </c>
      <c r="C30" s="10">
        <f t="shared" ref="C30:AF30" si="5">C14+C29</f>
        <v>482.64500000000027</v>
      </c>
      <c r="D30" s="10">
        <f t="shared" si="5"/>
        <v>731.91499999999985</v>
      </c>
      <c r="E30" s="10">
        <f t="shared" si="5"/>
        <v>1006.9429999999998</v>
      </c>
      <c r="F30" s="10">
        <f t="shared" si="5"/>
        <v>486.32999999999993</v>
      </c>
      <c r="G30" s="10">
        <f t="shared" si="5"/>
        <v>986.77299999999991</v>
      </c>
      <c r="H30" s="10">
        <f t="shared" si="5"/>
        <v>1384.5890000000004</v>
      </c>
      <c r="I30" s="10">
        <f t="shared" si="5"/>
        <v>1343.4519999999993</v>
      </c>
      <c r="J30" s="10">
        <f t="shared" si="5"/>
        <v>986.18500000000017</v>
      </c>
      <c r="K30" s="10">
        <f t="shared" si="5"/>
        <v>1995.5970000000002</v>
      </c>
      <c r="L30" s="10">
        <f t="shared" si="5"/>
        <v>1886.0640000000003</v>
      </c>
      <c r="M30" s="10">
        <f t="shared" si="5"/>
        <v>1825.5059999999996</v>
      </c>
      <c r="N30" s="10">
        <f t="shared" si="5"/>
        <v>695.75400000000047</v>
      </c>
      <c r="O30" s="10">
        <f t="shared" si="5"/>
        <v>2046.2280000000003</v>
      </c>
      <c r="P30" s="10">
        <f t="shared" si="5"/>
        <v>1661.7879999999996</v>
      </c>
      <c r="Q30" s="10">
        <f t="shared" si="5"/>
        <v>1618.2060000000001</v>
      </c>
      <c r="R30" s="10">
        <f t="shared" si="5"/>
        <v>643.29099999999994</v>
      </c>
      <c r="S30" s="10">
        <f t="shared" si="5"/>
        <v>1804.6519999999998</v>
      </c>
      <c r="T30" s="10">
        <f t="shared" si="5"/>
        <v>1916.5680000000002</v>
      </c>
      <c r="U30" s="10">
        <f t="shared" si="5"/>
        <v>2007.0540000000003</v>
      </c>
      <c r="V30" s="10">
        <f t="shared" si="5"/>
        <v>1582.6760000000008</v>
      </c>
      <c r="W30" s="10">
        <f t="shared" si="5"/>
        <v>2719.768</v>
      </c>
      <c r="X30" s="10">
        <f t="shared" si="5"/>
        <v>2684.0639999999994</v>
      </c>
      <c r="Y30" s="10">
        <f t="shared" si="5"/>
        <v>2990.3909999999996</v>
      </c>
      <c r="Z30" s="10">
        <f t="shared" si="5"/>
        <v>2352.3050000000017</v>
      </c>
      <c r="AA30" s="10">
        <f t="shared" si="5"/>
        <v>3427.0659999999998</v>
      </c>
      <c r="AB30" s="10">
        <f t="shared" si="5"/>
        <v>3854.7069999999994</v>
      </c>
      <c r="AC30" s="10">
        <f t="shared" si="5"/>
        <v>3335.5730000000008</v>
      </c>
      <c r="AD30" s="10">
        <f t="shared" si="5"/>
        <v>3042.6460000000006</v>
      </c>
      <c r="AE30" s="10">
        <f t="shared" si="5"/>
        <v>4055.5719999999992</v>
      </c>
      <c r="AF30" s="10">
        <f t="shared" si="5"/>
        <v>4293.1400000000003</v>
      </c>
    </row>
    <row r="32" spans="1:32" x14ac:dyDescent="0.3">
      <c r="A32" s="8" t="s">
        <v>106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8"/>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107</v>
      </c>
    </row>
    <row r="2" spans="1:32" x14ac:dyDescent="0.3">
      <c r="A2" s="2" t="s">
        <v>108</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109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4" t="s">
        <v>110</v>
      </c>
      <c r="B7" s="8" t="s">
        <v>111</v>
      </c>
      <c r="C7" s="9">
        <v>3348.5569999999998</v>
      </c>
      <c r="D7" s="9">
        <v>5004.2470000000003</v>
      </c>
      <c r="E7" s="9">
        <v>4435.018</v>
      </c>
      <c r="F7" s="9">
        <v>5018.4369999999999</v>
      </c>
      <c r="G7" s="9">
        <v>5151.884</v>
      </c>
      <c r="H7" s="9">
        <v>7153.2479999999996</v>
      </c>
      <c r="I7" s="9">
        <v>8392.3909999999996</v>
      </c>
      <c r="J7" s="9">
        <v>8205.5499999999993</v>
      </c>
      <c r="K7" s="9">
        <v>8403.7049999999999</v>
      </c>
      <c r="L7" s="9">
        <v>7777.53</v>
      </c>
      <c r="M7" s="9">
        <v>7526.6809999999996</v>
      </c>
      <c r="N7" s="9">
        <v>6027.8040000000001</v>
      </c>
      <c r="O7" s="9">
        <v>6008.9459999999999</v>
      </c>
      <c r="P7" s="9">
        <v>5819.4489999999996</v>
      </c>
      <c r="Q7" s="9">
        <v>6113.7330000000002</v>
      </c>
      <c r="R7" s="9">
        <v>5147.1760000000004</v>
      </c>
      <c r="S7" s="9">
        <v>6714.5940000000001</v>
      </c>
      <c r="T7" s="9">
        <v>7662.7879999999996</v>
      </c>
      <c r="U7" s="9">
        <v>7353.2449999999999</v>
      </c>
      <c r="V7" s="9">
        <v>7116.9129999999996</v>
      </c>
      <c r="W7" s="9">
        <v>7024.7659999999996</v>
      </c>
      <c r="X7" s="9">
        <v>6624.9390000000003</v>
      </c>
      <c r="Y7" s="9">
        <v>7457.0249999999996</v>
      </c>
      <c r="Z7" s="9">
        <v>7804.7330000000002</v>
      </c>
      <c r="AA7" s="9">
        <v>7199.848</v>
      </c>
      <c r="AB7" s="9">
        <v>8177.4049999999997</v>
      </c>
      <c r="AC7" s="9">
        <v>9287.2870000000003</v>
      </c>
      <c r="AD7" s="9">
        <v>9033.6810000000005</v>
      </c>
      <c r="AE7" s="9">
        <v>12259.772000000001</v>
      </c>
      <c r="AF7" s="9">
        <v>9099.232</v>
      </c>
    </row>
    <row r="8" spans="1:32" x14ac:dyDescent="0.3">
      <c r="A8" s="4" t="s">
        <v>112</v>
      </c>
      <c r="B8" s="8" t="s">
        <v>113</v>
      </c>
      <c r="C8" s="9">
        <v>0</v>
      </c>
      <c r="D8" s="9">
        <v>0</v>
      </c>
      <c r="E8" s="9">
        <v>0</v>
      </c>
      <c r="F8" s="9">
        <v>0</v>
      </c>
      <c r="G8" s="9">
        <v>0</v>
      </c>
      <c r="H8" s="9">
        <v>0</v>
      </c>
      <c r="I8" s="9">
        <v>0</v>
      </c>
      <c r="J8" s="9">
        <v>0</v>
      </c>
      <c r="K8" s="9">
        <v>0</v>
      </c>
      <c r="L8" s="9">
        <v>0</v>
      </c>
      <c r="M8" s="9">
        <v>0</v>
      </c>
      <c r="N8" s="9">
        <v>0</v>
      </c>
      <c r="O8" s="9">
        <v>0</v>
      </c>
      <c r="P8" s="9">
        <v>0</v>
      </c>
      <c r="Q8" s="9">
        <v>0</v>
      </c>
      <c r="R8" s="9">
        <v>911.27599999999995</v>
      </c>
      <c r="S8" s="9">
        <v>1112.9100000000001</v>
      </c>
      <c r="T8" s="9">
        <v>914.20100000000002</v>
      </c>
      <c r="U8" s="9">
        <v>514.20100000000002</v>
      </c>
      <c r="V8" s="9">
        <v>20.972999999999999</v>
      </c>
      <c r="W8" s="9">
        <v>20.972999999999999</v>
      </c>
      <c r="X8" s="9">
        <v>30.972999999999999</v>
      </c>
      <c r="Y8" s="9">
        <v>1766.902</v>
      </c>
      <c r="Z8" s="9">
        <v>1779.0060000000001</v>
      </c>
      <c r="AA8" s="9">
        <v>1171.1420000000001</v>
      </c>
      <c r="AB8" s="9">
        <v>213.11500000000001</v>
      </c>
      <c r="AC8" s="9">
        <v>37.104999999999997</v>
      </c>
      <c r="AD8" s="9">
        <v>28.678000000000001</v>
      </c>
      <c r="AE8" s="9">
        <v>28.678000000000001</v>
      </c>
      <c r="AF8" s="9">
        <v>28.678000000000001</v>
      </c>
    </row>
    <row r="9" spans="1:32" x14ac:dyDescent="0.3">
      <c r="A9" s="4" t="s">
        <v>114</v>
      </c>
      <c r="B9" s="8" t="s">
        <v>115</v>
      </c>
      <c r="C9" s="9">
        <v>820.35</v>
      </c>
      <c r="D9" s="9">
        <v>872.91</v>
      </c>
      <c r="E9" s="9">
        <v>892.74</v>
      </c>
      <c r="F9" s="9">
        <v>1160.067</v>
      </c>
      <c r="G9" s="9">
        <v>1295.8969999999999</v>
      </c>
      <c r="H9" s="9">
        <v>1410.8910000000001</v>
      </c>
      <c r="I9" s="9">
        <v>1434.0889999999999</v>
      </c>
      <c r="J9" s="9">
        <v>1556.03</v>
      </c>
      <c r="K9" s="9">
        <v>1703.8030000000001</v>
      </c>
      <c r="L9" s="9">
        <v>1826.7460000000001</v>
      </c>
      <c r="M9" s="9">
        <v>1889.106</v>
      </c>
      <c r="N9" s="9">
        <v>2042.021</v>
      </c>
      <c r="O9" s="9">
        <v>2089.069</v>
      </c>
      <c r="P9" s="9">
        <v>2021.329</v>
      </c>
      <c r="Q9" s="9">
        <v>2703.17</v>
      </c>
      <c r="R9" s="9">
        <v>3208.0210000000002</v>
      </c>
      <c r="S9" s="9">
        <v>2655.1190000000001</v>
      </c>
      <c r="T9" s="9">
        <v>2929.3470000000002</v>
      </c>
      <c r="U9" s="9">
        <v>2912.0279999999998</v>
      </c>
      <c r="V9" s="9">
        <v>2780.2469999999998</v>
      </c>
      <c r="W9" s="9">
        <v>2875.5740000000001</v>
      </c>
      <c r="X9" s="9">
        <v>2959.6410000000001</v>
      </c>
      <c r="Y9" s="9">
        <v>2905.172</v>
      </c>
      <c r="Z9" s="9">
        <v>3516.64</v>
      </c>
      <c r="AA9" s="9">
        <v>3326.6419999999998</v>
      </c>
      <c r="AB9" s="9">
        <v>3602.5859999999998</v>
      </c>
      <c r="AC9" s="9">
        <v>3638.5430000000001</v>
      </c>
      <c r="AD9" s="9">
        <v>3957.8319999999999</v>
      </c>
      <c r="AE9" s="9">
        <v>4782.5320000000002</v>
      </c>
      <c r="AF9" s="9">
        <v>4725.393</v>
      </c>
    </row>
    <row r="10" spans="1:32" x14ac:dyDescent="0.3">
      <c r="A10" s="3" t="s">
        <v>116</v>
      </c>
      <c r="B10" s="8" t="s">
        <v>77</v>
      </c>
      <c r="C10" s="10">
        <f t="shared" ref="C10:AF10" si="0">C7+C8+C9</f>
        <v>4168.9070000000002</v>
      </c>
      <c r="D10" s="10">
        <f t="shared" si="0"/>
        <v>5877.1570000000002</v>
      </c>
      <c r="E10" s="10">
        <f t="shared" si="0"/>
        <v>5327.7579999999998</v>
      </c>
      <c r="F10" s="10">
        <f t="shared" si="0"/>
        <v>6178.5039999999999</v>
      </c>
      <c r="G10" s="10">
        <f t="shared" si="0"/>
        <v>6447.7809999999999</v>
      </c>
      <c r="H10" s="10">
        <f t="shared" si="0"/>
        <v>8564.1389999999992</v>
      </c>
      <c r="I10" s="10">
        <f t="shared" si="0"/>
        <v>9826.48</v>
      </c>
      <c r="J10" s="10">
        <f t="shared" si="0"/>
        <v>9761.58</v>
      </c>
      <c r="K10" s="10">
        <f t="shared" si="0"/>
        <v>10107.508</v>
      </c>
      <c r="L10" s="10">
        <f t="shared" si="0"/>
        <v>9604.2759999999998</v>
      </c>
      <c r="M10" s="10">
        <f t="shared" si="0"/>
        <v>9415.7870000000003</v>
      </c>
      <c r="N10" s="10">
        <f t="shared" si="0"/>
        <v>8069.8249999999998</v>
      </c>
      <c r="O10" s="10">
        <f t="shared" si="0"/>
        <v>8098.0149999999994</v>
      </c>
      <c r="P10" s="10">
        <f t="shared" si="0"/>
        <v>7840.7779999999993</v>
      </c>
      <c r="Q10" s="10">
        <f t="shared" si="0"/>
        <v>8816.9030000000002</v>
      </c>
      <c r="R10" s="10">
        <f t="shared" si="0"/>
        <v>9266.473</v>
      </c>
      <c r="S10" s="10">
        <f t="shared" si="0"/>
        <v>10482.623</v>
      </c>
      <c r="T10" s="10">
        <f t="shared" si="0"/>
        <v>11506.335999999999</v>
      </c>
      <c r="U10" s="10">
        <f t="shared" si="0"/>
        <v>10779.474</v>
      </c>
      <c r="V10" s="10">
        <f t="shared" si="0"/>
        <v>9918.1329999999998</v>
      </c>
      <c r="W10" s="10">
        <f t="shared" si="0"/>
        <v>9921.3130000000001</v>
      </c>
      <c r="X10" s="10">
        <f t="shared" si="0"/>
        <v>9615.5529999999999</v>
      </c>
      <c r="Y10" s="10">
        <f t="shared" si="0"/>
        <v>12129.099</v>
      </c>
      <c r="Z10" s="10">
        <f t="shared" si="0"/>
        <v>13100.378999999999</v>
      </c>
      <c r="AA10" s="10">
        <f t="shared" si="0"/>
        <v>11697.632</v>
      </c>
      <c r="AB10" s="10">
        <f t="shared" si="0"/>
        <v>11993.106</v>
      </c>
      <c r="AC10" s="10">
        <f t="shared" si="0"/>
        <v>12962.934999999999</v>
      </c>
      <c r="AD10" s="10">
        <f t="shared" si="0"/>
        <v>13020.191000000001</v>
      </c>
      <c r="AE10" s="10">
        <f t="shared" si="0"/>
        <v>17070.982</v>
      </c>
      <c r="AF10" s="10">
        <f t="shared" si="0"/>
        <v>13853.303</v>
      </c>
    </row>
    <row r="11" spans="1:32" x14ac:dyDescent="0.3">
      <c r="A11" s="4" t="s">
        <v>117</v>
      </c>
      <c r="B11" s="8" t="s">
        <v>118</v>
      </c>
      <c r="C11" s="9">
        <v>20888.785</v>
      </c>
      <c r="D11" s="9">
        <v>21945.74</v>
      </c>
      <c r="E11" s="9">
        <v>23234.993999999999</v>
      </c>
      <c r="F11" s="9">
        <v>24504.566999999999</v>
      </c>
      <c r="G11" s="9">
        <v>25266.888999999999</v>
      </c>
      <c r="H11" s="9">
        <v>25155.116999999998</v>
      </c>
      <c r="I11" s="9">
        <v>25067.633000000002</v>
      </c>
      <c r="J11" s="9">
        <v>25383.95</v>
      </c>
      <c r="K11" s="9">
        <v>26043.991000000002</v>
      </c>
      <c r="L11" s="9">
        <v>27291.64</v>
      </c>
      <c r="M11" s="9">
        <v>28974.044999999998</v>
      </c>
      <c r="N11" s="9">
        <v>30919.539000000001</v>
      </c>
      <c r="O11" s="9">
        <v>31191.919999999998</v>
      </c>
      <c r="P11" s="9">
        <v>32533.199000000001</v>
      </c>
      <c r="Q11" s="9">
        <v>32777.339999999997</v>
      </c>
      <c r="R11" s="9">
        <v>32736.713</v>
      </c>
      <c r="S11" s="9">
        <v>32349.184000000001</v>
      </c>
      <c r="T11" s="9">
        <v>32520.774000000001</v>
      </c>
      <c r="U11" s="9">
        <v>31749.861000000001</v>
      </c>
      <c r="V11" s="9">
        <v>31658.056</v>
      </c>
      <c r="W11" s="9">
        <v>31662.1</v>
      </c>
      <c r="X11" s="9">
        <v>31927.355</v>
      </c>
      <c r="Y11" s="9">
        <v>32175.382000000001</v>
      </c>
      <c r="Z11" s="9">
        <v>32452.462</v>
      </c>
      <c r="AA11" s="9">
        <v>32040.839</v>
      </c>
      <c r="AB11" s="9">
        <v>32089.394</v>
      </c>
      <c r="AC11" s="9">
        <v>32639.879000000001</v>
      </c>
      <c r="AD11" s="9">
        <v>32778.392</v>
      </c>
      <c r="AE11" s="9">
        <v>33376.294999999998</v>
      </c>
      <c r="AF11" s="9">
        <v>33837.572999999997</v>
      </c>
    </row>
    <row r="12" spans="1:32" x14ac:dyDescent="0.3">
      <c r="A12" s="4" t="s">
        <v>119</v>
      </c>
      <c r="B12" s="8" t="s">
        <v>120</v>
      </c>
      <c r="C12" s="9">
        <v>434.37200000000001</v>
      </c>
      <c r="D12" s="9">
        <v>452.399</v>
      </c>
      <c r="E12" s="9">
        <v>481.99200000000002</v>
      </c>
      <c r="F12" s="9">
        <v>565.221</v>
      </c>
      <c r="G12" s="9">
        <v>650.45500000000004</v>
      </c>
      <c r="H12" s="9">
        <v>751.94100000000003</v>
      </c>
      <c r="I12" s="9">
        <v>828.11800000000005</v>
      </c>
      <c r="J12" s="9">
        <v>960.18299999999999</v>
      </c>
      <c r="K12" s="9">
        <v>1015.419</v>
      </c>
      <c r="L12" s="9">
        <v>1107.4369999999999</v>
      </c>
      <c r="M12" s="9">
        <v>1220.114</v>
      </c>
      <c r="N12" s="9">
        <v>1323.453</v>
      </c>
      <c r="O12" s="9">
        <v>1383.7629999999999</v>
      </c>
      <c r="P12" s="9">
        <v>1361.92</v>
      </c>
      <c r="Q12" s="9">
        <v>1372.7539999999999</v>
      </c>
      <c r="R12" s="9">
        <v>1398.2570000000001</v>
      </c>
      <c r="S12" s="9">
        <v>1413.0940000000001</v>
      </c>
      <c r="T12" s="9">
        <v>1471.9680000000001</v>
      </c>
      <c r="U12" s="9">
        <v>1498.3910000000001</v>
      </c>
      <c r="V12" s="9">
        <v>1491.444</v>
      </c>
      <c r="W12" s="9">
        <v>1501.1679999999999</v>
      </c>
      <c r="X12" s="9">
        <v>1510.9580000000001</v>
      </c>
      <c r="Y12" s="9">
        <v>1568.212</v>
      </c>
      <c r="Z12" s="9">
        <v>1593.7560000000001</v>
      </c>
      <c r="AA12" s="9">
        <v>1644.346</v>
      </c>
      <c r="AB12" s="9">
        <v>1743.566</v>
      </c>
      <c r="AC12" s="9">
        <v>1837.8889999999999</v>
      </c>
      <c r="AD12" s="9">
        <v>2004.35</v>
      </c>
      <c r="AE12" s="9">
        <v>2147.8290000000002</v>
      </c>
      <c r="AF12" s="9">
        <v>2398.848</v>
      </c>
    </row>
    <row r="13" spans="1:32" x14ac:dyDescent="0.3">
      <c r="A13" s="4" t="s">
        <v>121</v>
      </c>
      <c r="B13" s="8" t="s">
        <v>122</v>
      </c>
      <c r="C13" s="11">
        <f t="shared" ref="C13:AF13" si="1">C15-C10-C11-C12</f>
        <v>1726.5680000000023</v>
      </c>
      <c r="D13" s="11">
        <f t="shared" si="1"/>
        <v>1896.0429999999992</v>
      </c>
      <c r="E13" s="11">
        <f t="shared" si="1"/>
        <v>1896.9670000000026</v>
      </c>
      <c r="F13" s="11">
        <f t="shared" si="1"/>
        <v>2727.4199999999996</v>
      </c>
      <c r="G13" s="11">
        <f t="shared" si="1"/>
        <v>2694.7850000000053</v>
      </c>
      <c r="H13" s="11">
        <f t="shared" si="1"/>
        <v>2704.0840000000053</v>
      </c>
      <c r="I13" s="11">
        <f t="shared" si="1"/>
        <v>2900.3119999999967</v>
      </c>
      <c r="J13" s="11">
        <f t="shared" si="1"/>
        <v>3174.6459999999943</v>
      </c>
      <c r="K13" s="11">
        <f t="shared" si="1"/>
        <v>2956.0959999999995</v>
      </c>
      <c r="L13" s="11">
        <f t="shared" si="1"/>
        <v>2967.616</v>
      </c>
      <c r="M13" s="11">
        <f t="shared" si="1"/>
        <v>3129.9110000000087</v>
      </c>
      <c r="N13" s="11">
        <f t="shared" si="1"/>
        <v>4271.8460000000032</v>
      </c>
      <c r="O13" s="11">
        <f t="shared" si="1"/>
        <v>4657.2060000000047</v>
      </c>
      <c r="P13" s="11">
        <f t="shared" si="1"/>
        <v>4615.0379999999986</v>
      </c>
      <c r="Q13" s="11">
        <f t="shared" si="1"/>
        <v>4595.1900000000032</v>
      </c>
      <c r="R13" s="11">
        <f t="shared" si="1"/>
        <v>5193.3249999999989</v>
      </c>
      <c r="S13" s="11">
        <f t="shared" si="1"/>
        <v>5245.4440000000004</v>
      </c>
      <c r="T13" s="11">
        <f t="shared" si="1"/>
        <v>5318.3950000000013</v>
      </c>
      <c r="U13" s="11">
        <f t="shared" si="1"/>
        <v>5474.0599999999977</v>
      </c>
      <c r="V13" s="11">
        <f t="shared" si="1"/>
        <v>5664.3589999999967</v>
      </c>
      <c r="W13" s="11">
        <f t="shared" si="1"/>
        <v>5743.1399999999976</v>
      </c>
      <c r="X13" s="11">
        <f t="shared" si="1"/>
        <v>6045.0289999999968</v>
      </c>
      <c r="Y13" s="11">
        <f t="shared" si="1"/>
        <v>6409.1509999999944</v>
      </c>
      <c r="Z13" s="11">
        <f t="shared" si="1"/>
        <v>6483.7770000000028</v>
      </c>
      <c r="AA13" s="11">
        <f t="shared" si="1"/>
        <v>6704.827000000003</v>
      </c>
      <c r="AB13" s="11">
        <f t="shared" si="1"/>
        <v>7273.5979999999972</v>
      </c>
      <c r="AC13" s="11">
        <f t="shared" si="1"/>
        <v>7494.1320000000005</v>
      </c>
      <c r="AD13" s="11">
        <f t="shared" si="1"/>
        <v>7794.0600000000031</v>
      </c>
      <c r="AE13" s="11">
        <f t="shared" si="1"/>
        <v>8420.8080000000027</v>
      </c>
      <c r="AF13" s="11">
        <f t="shared" si="1"/>
        <v>8360.7170000000024</v>
      </c>
    </row>
    <row r="14" spans="1:32" x14ac:dyDescent="0.3">
      <c r="A14" s="3" t="s">
        <v>123</v>
      </c>
      <c r="B14" s="8" t="s">
        <v>77</v>
      </c>
      <c r="C14" s="10">
        <f t="shared" ref="C14:AF14" si="2">C11+C12+C13</f>
        <v>23049.725000000002</v>
      </c>
      <c r="D14" s="10">
        <f t="shared" si="2"/>
        <v>24294.182000000001</v>
      </c>
      <c r="E14" s="10">
        <f t="shared" si="2"/>
        <v>25613.953000000001</v>
      </c>
      <c r="F14" s="10">
        <f t="shared" si="2"/>
        <v>27797.207999999999</v>
      </c>
      <c r="G14" s="10">
        <f t="shared" si="2"/>
        <v>28612.129000000008</v>
      </c>
      <c r="H14" s="10">
        <f t="shared" si="2"/>
        <v>28611.142000000003</v>
      </c>
      <c r="I14" s="10">
        <f t="shared" si="2"/>
        <v>28796.062999999998</v>
      </c>
      <c r="J14" s="10">
        <f t="shared" si="2"/>
        <v>29518.778999999995</v>
      </c>
      <c r="K14" s="10">
        <f t="shared" si="2"/>
        <v>30015.506000000001</v>
      </c>
      <c r="L14" s="10">
        <f t="shared" si="2"/>
        <v>31366.692999999999</v>
      </c>
      <c r="M14" s="10">
        <f t="shared" si="2"/>
        <v>33324.070000000007</v>
      </c>
      <c r="N14" s="10">
        <f t="shared" si="2"/>
        <v>36514.838000000003</v>
      </c>
      <c r="O14" s="10">
        <f t="shared" si="2"/>
        <v>37232.889000000003</v>
      </c>
      <c r="P14" s="10">
        <f t="shared" si="2"/>
        <v>38510.156999999999</v>
      </c>
      <c r="Q14" s="10">
        <f t="shared" si="2"/>
        <v>38745.284</v>
      </c>
      <c r="R14" s="10">
        <f t="shared" si="2"/>
        <v>39328.294999999998</v>
      </c>
      <c r="S14" s="10">
        <f t="shared" si="2"/>
        <v>39007.722000000002</v>
      </c>
      <c r="T14" s="10">
        <f t="shared" si="2"/>
        <v>39311.137000000002</v>
      </c>
      <c r="U14" s="10">
        <f t="shared" si="2"/>
        <v>38722.311999999998</v>
      </c>
      <c r="V14" s="10">
        <f t="shared" si="2"/>
        <v>38813.858999999997</v>
      </c>
      <c r="W14" s="10">
        <f t="shared" si="2"/>
        <v>38906.407999999996</v>
      </c>
      <c r="X14" s="10">
        <f t="shared" si="2"/>
        <v>39483.341999999997</v>
      </c>
      <c r="Y14" s="10">
        <f t="shared" si="2"/>
        <v>40152.744999999995</v>
      </c>
      <c r="Z14" s="10">
        <f t="shared" si="2"/>
        <v>40529.995000000003</v>
      </c>
      <c r="AA14" s="10">
        <f t="shared" si="2"/>
        <v>40390.012000000002</v>
      </c>
      <c r="AB14" s="10">
        <f t="shared" si="2"/>
        <v>41106.557999999997</v>
      </c>
      <c r="AC14" s="10">
        <f t="shared" si="2"/>
        <v>41971.9</v>
      </c>
      <c r="AD14" s="10">
        <f t="shared" si="2"/>
        <v>42576.802000000003</v>
      </c>
      <c r="AE14" s="10">
        <f t="shared" si="2"/>
        <v>43944.932000000001</v>
      </c>
      <c r="AF14" s="10">
        <f t="shared" si="2"/>
        <v>44597.137999999999</v>
      </c>
    </row>
    <row r="15" spans="1:32" x14ac:dyDescent="0.3">
      <c r="A15" s="3" t="s">
        <v>124</v>
      </c>
      <c r="B15" s="8" t="s">
        <v>125</v>
      </c>
      <c r="C15" s="9">
        <v>27218.632000000001</v>
      </c>
      <c r="D15" s="9">
        <v>30171.339</v>
      </c>
      <c r="E15" s="9">
        <v>30941.710999999999</v>
      </c>
      <c r="F15" s="9">
        <v>33975.712</v>
      </c>
      <c r="G15" s="9">
        <v>35059.910000000003</v>
      </c>
      <c r="H15" s="9">
        <v>37175.281000000003</v>
      </c>
      <c r="I15" s="9">
        <v>38622.542999999998</v>
      </c>
      <c r="J15" s="9">
        <v>39280.358999999997</v>
      </c>
      <c r="K15" s="9">
        <v>40123.014000000003</v>
      </c>
      <c r="L15" s="9">
        <v>40970.968999999997</v>
      </c>
      <c r="M15" s="9">
        <v>42739.857000000004</v>
      </c>
      <c r="N15" s="9">
        <v>44584.663</v>
      </c>
      <c r="O15" s="9">
        <v>45330.904000000002</v>
      </c>
      <c r="P15" s="9">
        <v>46350.934999999998</v>
      </c>
      <c r="Q15" s="9">
        <v>47562.186999999998</v>
      </c>
      <c r="R15" s="9">
        <v>48594.767999999996</v>
      </c>
      <c r="S15" s="9">
        <v>49490.345000000001</v>
      </c>
      <c r="T15" s="9">
        <v>50817.472999999998</v>
      </c>
      <c r="U15" s="9">
        <v>49501.786</v>
      </c>
      <c r="V15" s="9">
        <v>48731.991999999998</v>
      </c>
      <c r="W15" s="9">
        <v>48827.720999999998</v>
      </c>
      <c r="X15" s="9">
        <v>49098.894999999997</v>
      </c>
      <c r="Y15" s="9">
        <v>52281.843999999997</v>
      </c>
      <c r="Z15" s="9">
        <v>53630.374000000003</v>
      </c>
      <c r="AA15" s="9">
        <v>52087.644</v>
      </c>
      <c r="AB15" s="9">
        <v>53099.663999999997</v>
      </c>
      <c r="AC15" s="9">
        <v>54934.834999999999</v>
      </c>
      <c r="AD15" s="9">
        <v>55596.993000000002</v>
      </c>
      <c r="AE15" s="9">
        <v>61015.913999999997</v>
      </c>
      <c r="AF15" s="9">
        <v>58450.440999999999</v>
      </c>
    </row>
    <row r="17" spans="1:32" x14ac:dyDescent="0.3">
      <c r="A17" s="6" t="s">
        <v>126</v>
      </c>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row>
    <row r="18" spans="1:32" x14ac:dyDescent="0.3">
      <c r="A18" s="4" t="s">
        <v>127</v>
      </c>
      <c r="B18" s="8" t="s">
        <v>128</v>
      </c>
      <c r="C18" s="9">
        <v>4863.3509999999997</v>
      </c>
      <c r="D18" s="9">
        <v>4848.201</v>
      </c>
      <c r="E18" s="9">
        <v>4860.5420000000004</v>
      </c>
      <c r="F18" s="9">
        <v>4413.5609999999997</v>
      </c>
      <c r="G18" s="9">
        <v>4761.585</v>
      </c>
      <c r="H18" s="9">
        <v>4664.7330000000002</v>
      </c>
      <c r="I18" s="9">
        <v>4599.6540000000005</v>
      </c>
      <c r="J18" s="9">
        <v>4429.5360000000001</v>
      </c>
      <c r="K18" s="9">
        <v>4297.9570000000003</v>
      </c>
      <c r="L18" s="9">
        <v>4197.8739999999998</v>
      </c>
      <c r="M18" s="9">
        <v>4110.9620000000004</v>
      </c>
      <c r="N18" s="9">
        <v>4292.9669999999996</v>
      </c>
      <c r="O18" s="9">
        <v>4066.2890000000002</v>
      </c>
      <c r="P18" s="9">
        <v>4174.9660000000003</v>
      </c>
      <c r="Q18" s="9">
        <v>4225.8900000000003</v>
      </c>
      <c r="R18" s="9">
        <v>4480.1499999999996</v>
      </c>
      <c r="S18" s="9">
        <v>4344.58</v>
      </c>
      <c r="T18" s="9">
        <v>4440.4120000000003</v>
      </c>
      <c r="U18" s="9">
        <v>4259.5820000000003</v>
      </c>
      <c r="V18" s="9">
        <v>4466.47</v>
      </c>
      <c r="W18" s="9">
        <v>4436.0209999999997</v>
      </c>
      <c r="X18" s="9">
        <v>4391.4369999999999</v>
      </c>
      <c r="Y18" s="9">
        <v>4489.9709999999995</v>
      </c>
      <c r="Z18" s="9">
        <v>4393.6809999999996</v>
      </c>
      <c r="AA18" s="9">
        <v>4128.9049999999997</v>
      </c>
      <c r="AB18" s="9">
        <v>4091.77</v>
      </c>
      <c r="AC18" s="9">
        <v>4102.6400000000003</v>
      </c>
      <c r="AD18" s="9">
        <v>4084.8539999999998</v>
      </c>
      <c r="AE18" s="9">
        <v>4052.2779999999998</v>
      </c>
      <c r="AF18" s="9">
        <v>3866.5219999999999</v>
      </c>
    </row>
    <row r="19" spans="1:32" x14ac:dyDescent="0.3">
      <c r="A19" s="4" t="s">
        <v>129</v>
      </c>
      <c r="B19" s="8" t="s">
        <v>130</v>
      </c>
      <c r="C19" s="9">
        <v>439.49599999999998</v>
      </c>
      <c r="D19" s="9">
        <v>442.19400000000002</v>
      </c>
      <c r="E19" s="9">
        <v>444.12900000000002</v>
      </c>
      <c r="F19" s="9">
        <v>674.34699999999998</v>
      </c>
      <c r="G19" s="9">
        <v>545.48800000000006</v>
      </c>
      <c r="H19" s="9">
        <v>446.66800000000001</v>
      </c>
      <c r="I19" s="9">
        <v>541.298</v>
      </c>
      <c r="J19" s="9">
        <v>656.18299999999999</v>
      </c>
      <c r="K19" s="9">
        <v>532.94200000000001</v>
      </c>
      <c r="L19" s="9">
        <v>622.93100000000004</v>
      </c>
      <c r="M19" s="9">
        <v>643.05899999999997</v>
      </c>
      <c r="N19" s="9">
        <v>837.48299999999995</v>
      </c>
      <c r="O19" s="9">
        <v>617.202</v>
      </c>
      <c r="P19" s="9">
        <v>504.27800000000002</v>
      </c>
      <c r="Q19" s="9">
        <v>560.15599999999995</v>
      </c>
      <c r="R19" s="9">
        <v>671.51300000000003</v>
      </c>
      <c r="S19" s="9">
        <v>591.98699999999997</v>
      </c>
      <c r="T19" s="9">
        <v>615.37400000000002</v>
      </c>
      <c r="U19" s="9">
        <v>534.42899999999997</v>
      </c>
      <c r="V19" s="9">
        <v>747.41200000000003</v>
      </c>
      <c r="W19" s="9">
        <v>607.34799999999996</v>
      </c>
      <c r="X19" s="9">
        <v>598.55700000000002</v>
      </c>
      <c r="Y19" s="9">
        <v>641.95299999999997</v>
      </c>
      <c r="Z19" s="9">
        <v>899.90899999999999</v>
      </c>
      <c r="AA19" s="9">
        <v>614.48900000000003</v>
      </c>
      <c r="AB19" s="9">
        <v>632.71799999999996</v>
      </c>
      <c r="AC19" s="9">
        <v>793.23299999999995</v>
      </c>
      <c r="AD19" s="9">
        <v>900.61199999999997</v>
      </c>
      <c r="AE19" s="9">
        <v>894.68100000000004</v>
      </c>
      <c r="AF19" s="9">
        <v>814.55100000000004</v>
      </c>
    </row>
    <row r="20" spans="1:32" x14ac:dyDescent="0.3">
      <c r="A20" s="4" t="s">
        <v>131</v>
      </c>
      <c r="B20" s="8" t="s">
        <v>132</v>
      </c>
      <c r="C20" s="9">
        <v>746.26800000000003</v>
      </c>
      <c r="D20" s="9">
        <v>750.81200000000001</v>
      </c>
      <c r="E20" s="9">
        <v>1037.723</v>
      </c>
      <c r="F20" s="9">
        <v>843.04300000000001</v>
      </c>
      <c r="G20" s="9">
        <v>1061.0899999999999</v>
      </c>
      <c r="H20" s="9">
        <v>986.59500000000003</v>
      </c>
      <c r="I20" s="9">
        <v>1259.124</v>
      </c>
      <c r="J20" s="9">
        <v>1102.1959999999999</v>
      </c>
      <c r="K20" s="9">
        <v>1291.8119999999999</v>
      </c>
      <c r="L20" s="9">
        <v>1125.5909999999999</v>
      </c>
      <c r="M20" s="9">
        <v>1413.12</v>
      </c>
      <c r="N20" s="9">
        <v>1449.3510000000001</v>
      </c>
      <c r="O20" s="9">
        <v>1817.117</v>
      </c>
      <c r="P20" s="9">
        <v>1596.0350000000001</v>
      </c>
      <c r="Q20" s="9">
        <v>1803.5550000000001</v>
      </c>
      <c r="R20" s="9">
        <v>1514.65</v>
      </c>
      <c r="S20" s="9">
        <v>1718.069</v>
      </c>
      <c r="T20" s="9">
        <v>1908.7139999999999</v>
      </c>
      <c r="U20" s="9">
        <v>1838.9079999999999</v>
      </c>
      <c r="V20" s="9">
        <v>1803.96</v>
      </c>
      <c r="W20" s="9">
        <v>1977.4280000000001</v>
      </c>
      <c r="X20" s="9">
        <v>1876.2439999999999</v>
      </c>
      <c r="Y20" s="9">
        <v>2241.7579999999998</v>
      </c>
      <c r="Z20" s="9">
        <v>2156.5439999999999</v>
      </c>
      <c r="AA20" s="9">
        <v>2359.518</v>
      </c>
      <c r="AB20" s="9">
        <v>2489.4859999999999</v>
      </c>
      <c r="AC20" s="9">
        <v>3111.3110000000001</v>
      </c>
      <c r="AD20" s="9">
        <v>3220.8690000000001</v>
      </c>
      <c r="AE20" s="9">
        <v>4441.9859999999999</v>
      </c>
      <c r="AF20" s="9">
        <v>3172.6109999999999</v>
      </c>
    </row>
    <row r="21" spans="1:32" x14ac:dyDescent="0.3">
      <c r="A21" s="4" t="s">
        <v>133</v>
      </c>
      <c r="B21" s="8" t="s">
        <v>134</v>
      </c>
      <c r="C21" s="9">
        <v>808.69200000000001</v>
      </c>
      <c r="D21" s="9">
        <v>892.77700000000004</v>
      </c>
      <c r="E21" s="9">
        <v>915.50599999999997</v>
      </c>
      <c r="F21" s="9">
        <v>925</v>
      </c>
      <c r="G21" s="9">
        <v>987</v>
      </c>
      <c r="H21" s="9">
        <v>1029</v>
      </c>
      <c r="I21" s="9">
        <v>1040</v>
      </c>
      <c r="J21" s="9">
        <v>1118</v>
      </c>
      <c r="K21" s="9">
        <v>1140</v>
      </c>
      <c r="L21" s="9">
        <v>1187</v>
      </c>
      <c r="M21" s="9">
        <v>1183</v>
      </c>
      <c r="N21" s="9">
        <v>1209</v>
      </c>
      <c r="O21" s="9">
        <v>1239</v>
      </c>
      <c r="P21" s="9">
        <v>1225</v>
      </c>
      <c r="Q21" s="9">
        <v>1176</v>
      </c>
      <c r="R21" s="9">
        <v>1265</v>
      </c>
      <c r="S21" s="9">
        <v>1262</v>
      </c>
      <c r="T21" s="9">
        <v>1312</v>
      </c>
      <c r="U21" s="9">
        <v>1306</v>
      </c>
      <c r="V21" s="9">
        <v>1443</v>
      </c>
      <c r="W21" s="9">
        <v>1469</v>
      </c>
      <c r="X21" s="9">
        <v>1474</v>
      </c>
      <c r="Y21" s="9">
        <v>1513</v>
      </c>
      <c r="Z21" s="9">
        <v>1521</v>
      </c>
      <c r="AA21" s="9">
        <v>1610</v>
      </c>
      <c r="AB21" s="9">
        <v>1728</v>
      </c>
      <c r="AC21" s="9">
        <v>1725</v>
      </c>
      <c r="AD21" s="9">
        <v>1776</v>
      </c>
      <c r="AE21" s="9">
        <v>1743</v>
      </c>
      <c r="AF21" s="9">
        <v>1797</v>
      </c>
    </row>
    <row r="22" spans="1:32" x14ac:dyDescent="0.3">
      <c r="A22" s="4" t="s">
        <v>135</v>
      </c>
      <c r="B22" s="8" t="s">
        <v>136</v>
      </c>
      <c r="C22" s="9">
        <v>0</v>
      </c>
      <c r="D22" s="9">
        <v>0</v>
      </c>
      <c r="E22" s="9">
        <v>0</v>
      </c>
      <c r="F22" s="9">
        <v>0</v>
      </c>
      <c r="G22" s="9">
        <v>499</v>
      </c>
      <c r="H22" s="9">
        <v>499</v>
      </c>
      <c r="I22" s="9">
        <v>500</v>
      </c>
      <c r="J22" s="9">
        <v>499.87799999999999</v>
      </c>
      <c r="K22" s="9">
        <v>699</v>
      </c>
      <c r="L22" s="9">
        <v>699</v>
      </c>
      <c r="M22" s="9">
        <v>699</v>
      </c>
      <c r="N22" s="9">
        <v>699.82299999999998</v>
      </c>
      <c r="O22" s="9">
        <v>0</v>
      </c>
      <c r="P22" s="9">
        <v>0</v>
      </c>
      <c r="Q22" s="9">
        <v>0</v>
      </c>
      <c r="R22" s="9">
        <v>0</v>
      </c>
      <c r="S22" s="9">
        <v>399</v>
      </c>
      <c r="T22" s="9">
        <v>399</v>
      </c>
      <c r="U22" s="9">
        <v>400</v>
      </c>
      <c r="V22" s="9">
        <v>399.84399999999999</v>
      </c>
      <c r="W22" s="9">
        <v>799</v>
      </c>
      <c r="X22" s="9">
        <v>1800</v>
      </c>
      <c r="Y22" s="9">
        <v>1820</v>
      </c>
      <c r="Z22" s="9">
        <v>1784.453</v>
      </c>
      <c r="AA22" s="9">
        <v>1006</v>
      </c>
      <c r="AB22" s="9">
        <v>0</v>
      </c>
      <c r="AC22" s="9">
        <v>0</v>
      </c>
      <c r="AD22" s="9">
        <v>998.86500000000001</v>
      </c>
      <c r="AE22" s="9">
        <v>999</v>
      </c>
      <c r="AF22" s="9">
        <v>2484</v>
      </c>
    </row>
    <row r="23" spans="1:32" x14ac:dyDescent="0.3">
      <c r="A23" s="4" t="s">
        <v>137</v>
      </c>
      <c r="B23" s="8" t="s">
        <v>138</v>
      </c>
      <c r="C23" s="11">
        <f t="shared" ref="C23:AF23" si="3">C24-(C18+C19+C20+C21+C22)</f>
        <v>0</v>
      </c>
      <c r="D23" s="11">
        <f t="shared" si="3"/>
        <v>0</v>
      </c>
      <c r="E23" s="11">
        <f t="shared" si="3"/>
        <v>0</v>
      </c>
      <c r="F23" s="11">
        <f t="shared" si="3"/>
        <v>-0.25499999999919964</v>
      </c>
      <c r="G23" s="11">
        <f t="shared" si="3"/>
        <v>-0.43800000000010186</v>
      </c>
      <c r="H23" s="11">
        <f t="shared" si="3"/>
        <v>0.42199999999957072</v>
      </c>
      <c r="I23" s="11">
        <f t="shared" si="3"/>
        <v>-0.28099999999994907</v>
      </c>
      <c r="J23" s="11">
        <f t="shared" si="3"/>
        <v>-7.9999999998108251E-3</v>
      </c>
      <c r="K23" s="11">
        <f t="shared" si="3"/>
        <v>5.9000000000196451E-2</v>
      </c>
      <c r="L23" s="11">
        <f t="shared" si="3"/>
        <v>0.49199999999927968</v>
      </c>
      <c r="M23" s="11">
        <f t="shared" si="3"/>
        <v>0.10499999999956344</v>
      </c>
      <c r="N23" s="11">
        <f t="shared" si="3"/>
        <v>0.34200000000055297</v>
      </c>
      <c r="O23" s="11">
        <f t="shared" si="3"/>
        <v>4.7999999999774445E-2</v>
      </c>
      <c r="P23" s="11">
        <f t="shared" si="3"/>
        <v>-0.25700000000051659</v>
      </c>
      <c r="Q23" s="11">
        <f t="shared" si="3"/>
        <v>0.32299999999941065</v>
      </c>
      <c r="R23" s="11">
        <f t="shared" si="3"/>
        <v>-0.33899999999994179</v>
      </c>
      <c r="S23" s="11">
        <f t="shared" si="3"/>
        <v>0.43399999999928696</v>
      </c>
      <c r="T23" s="11">
        <f t="shared" si="3"/>
        <v>0.30500000000029104</v>
      </c>
      <c r="U23" s="11">
        <f t="shared" si="3"/>
        <v>-0.20099999999911233</v>
      </c>
      <c r="V23" s="11">
        <f t="shared" si="3"/>
        <v>-3.0999999999039574E-2</v>
      </c>
      <c r="W23" s="11">
        <f t="shared" si="3"/>
        <v>0.42000000000189175</v>
      </c>
      <c r="X23" s="11">
        <f t="shared" si="3"/>
        <v>-0.23899999999957799</v>
      </c>
      <c r="Y23" s="11">
        <f t="shared" si="3"/>
        <v>0.44400000000132422</v>
      </c>
      <c r="Z23" s="11">
        <f t="shared" si="3"/>
        <v>-0.18699999999807915</v>
      </c>
      <c r="AA23" s="11">
        <f t="shared" si="3"/>
        <v>-0.3930000000000291</v>
      </c>
      <c r="AB23" s="11">
        <f t="shared" si="3"/>
        <v>0.36099999999896681</v>
      </c>
      <c r="AC23" s="11">
        <f t="shared" si="3"/>
        <v>-0.3250000000007276</v>
      </c>
      <c r="AD23" s="11">
        <f t="shared" si="3"/>
        <v>-0.26999999999861757</v>
      </c>
      <c r="AE23" s="11">
        <f t="shared" si="3"/>
        <v>0.63299999999981083</v>
      </c>
      <c r="AF23" s="11">
        <f t="shared" si="3"/>
        <v>0.2139999999981228</v>
      </c>
    </row>
    <row r="24" spans="1:32" x14ac:dyDescent="0.3">
      <c r="A24" s="3" t="s">
        <v>139</v>
      </c>
      <c r="B24" s="8" t="s">
        <v>140</v>
      </c>
      <c r="C24" s="9">
        <v>6857.8069999999998</v>
      </c>
      <c r="D24" s="9">
        <v>6933.9840000000004</v>
      </c>
      <c r="E24" s="9">
        <v>7257.9</v>
      </c>
      <c r="F24" s="9">
        <v>6855.6959999999999</v>
      </c>
      <c r="G24" s="9">
        <v>7853.7250000000004</v>
      </c>
      <c r="H24" s="9">
        <v>7626.4179999999997</v>
      </c>
      <c r="I24" s="9">
        <v>7939.7950000000001</v>
      </c>
      <c r="J24" s="9">
        <v>7805.7849999999999</v>
      </c>
      <c r="K24" s="9">
        <v>7961.77</v>
      </c>
      <c r="L24" s="9">
        <v>7832.8879999999999</v>
      </c>
      <c r="M24" s="9">
        <v>8049.2460000000001</v>
      </c>
      <c r="N24" s="9">
        <v>8488.9660000000003</v>
      </c>
      <c r="O24" s="9">
        <v>7739.6559999999999</v>
      </c>
      <c r="P24" s="9">
        <v>7500.0219999999999</v>
      </c>
      <c r="Q24" s="9">
        <v>7765.924</v>
      </c>
      <c r="R24" s="9">
        <v>7930.9740000000002</v>
      </c>
      <c r="S24" s="9">
        <v>8316.07</v>
      </c>
      <c r="T24" s="9">
        <v>8675.8050000000003</v>
      </c>
      <c r="U24" s="9">
        <v>8338.7180000000008</v>
      </c>
      <c r="V24" s="9">
        <v>8860.6550000000007</v>
      </c>
      <c r="W24" s="9">
        <v>9289.2170000000006</v>
      </c>
      <c r="X24" s="9">
        <v>10139.999</v>
      </c>
      <c r="Y24" s="9">
        <v>10707.126</v>
      </c>
      <c r="Z24" s="9">
        <v>10755.4</v>
      </c>
      <c r="AA24" s="9">
        <v>9718.5190000000002</v>
      </c>
      <c r="AB24" s="9">
        <v>8942.3349999999991</v>
      </c>
      <c r="AC24" s="9">
        <v>9731.8590000000004</v>
      </c>
      <c r="AD24" s="9">
        <v>10980.93</v>
      </c>
      <c r="AE24" s="9">
        <v>12131.578</v>
      </c>
      <c r="AF24" s="9">
        <v>12134.897999999999</v>
      </c>
    </row>
    <row r="25" spans="1:32" x14ac:dyDescent="0.3">
      <c r="A25" s="4" t="s">
        <v>141</v>
      </c>
      <c r="B25" s="8" t="s">
        <v>142</v>
      </c>
      <c r="C25" s="9">
        <v>3560.364</v>
      </c>
      <c r="D25" s="9">
        <v>3564.44</v>
      </c>
      <c r="E25" s="9">
        <v>3419.5520000000001</v>
      </c>
      <c r="F25" s="9">
        <v>3334.3229999999999</v>
      </c>
      <c r="G25" s="9">
        <v>3206.0509999999999</v>
      </c>
      <c r="H25" s="9">
        <v>3208.1640000000002</v>
      </c>
      <c r="I25" s="9">
        <v>2926.5740000000001</v>
      </c>
      <c r="J25" s="9">
        <v>2618.0839999999998</v>
      </c>
      <c r="K25" s="9">
        <v>2465.6260000000002</v>
      </c>
      <c r="L25" s="9">
        <v>2265.2860000000001</v>
      </c>
      <c r="M25" s="9">
        <v>2301.0259999999998</v>
      </c>
      <c r="N25" s="9">
        <v>3094.2130000000002</v>
      </c>
      <c r="O25" s="9">
        <v>2945.221</v>
      </c>
      <c r="P25" s="9">
        <v>2989.9609999999998</v>
      </c>
      <c r="Q25" s="9">
        <v>2955.3679999999999</v>
      </c>
      <c r="R25" s="9">
        <v>3081.277</v>
      </c>
      <c r="S25" s="9">
        <v>2908.029</v>
      </c>
      <c r="T25" s="9">
        <v>2849.3870000000002</v>
      </c>
      <c r="U25" s="9">
        <v>2668.4720000000002</v>
      </c>
      <c r="V25" s="9">
        <v>2578.1729999999998</v>
      </c>
      <c r="W25" s="9">
        <v>2370.692</v>
      </c>
      <c r="X25" s="9">
        <v>2028.7819999999999</v>
      </c>
      <c r="Y25" s="9">
        <v>1918.0889999999999</v>
      </c>
      <c r="Z25" s="9">
        <v>1780.806</v>
      </c>
      <c r="AA25" s="9">
        <v>1696.662</v>
      </c>
      <c r="AB25" s="9">
        <v>1606.404</v>
      </c>
      <c r="AC25" s="9">
        <v>1591.973</v>
      </c>
      <c r="AD25" s="9">
        <v>1579.4760000000001</v>
      </c>
      <c r="AE25" s="9">
        <v>1626.498</v>
      </c>
      <c r="AF25" s="9">
        <v>1625.6</v>
      </c>
    </row>
    <row r="26" spans="1:32" x14ac:dyDescent="0.3">
      <c r="A26" s="4" t="s">
        <v>143</v>
      </c>
      <c r="B26" s="8" t="s">
        <v>144</v>
      </c>
      <c r="C26" s="9">
        <v>10305.022999999999</v>
      </c>
      <c r="D26" s="9">
        <v>12594</v>
      </c>
      <c r="E26" s="9">
        <v>12426</v>
      </c>
      <c r="F26" s="9">
        <v>14759</v>
      </c>
      <c r="G26" s="9">
        <v>14170.691999999999</v>
      </c>
      <c r="H26" s="9">
        <v>15294.998</v>
      </c>
      <c r="I26" s="9">
        <v>15547.616</v>
      </c>
      <c r="J26" s="9">
        <v>15809.094999999999</v>
      </c>
      <c r="K26" s="9">
        <v>14860.552</v>
      </c>
      <c r="L26" s="9">
        <v>14926.888999999999</v>
      </c>
      <c r="M26" s="9">
        <v>14793.691000000001</v>
      </c>
      <c r="N26" s="9">
        <v>14693.072</v>
      </c>
      <c r="O26" s="9">
        <v>14534.561</v>
      </c>
      <c r="P26" s="9">
        <v>14233.303</v>
      </c>
      <c r="Q26" s="9">
        <v>13888.117</v>
      </c>
      <c r="R26" s="9">
        <v>14353.075999999999</v>
      </c>
      <c r="S26" s="9">
        <v>14037.965</v>
      </c>
      <c r="T26" s="9">
        <v>14070.151</v>
      </c>
      <c r="U26" s="9">
        <v>13900.754000000001</v>
      </c>
      <c r="V26" s="9">
        <v>14143.416999999999</v>
      </c>
      <c r="W26" s="9">
        <v>13217.038</v>
      </c>
      <c r="X26" s="9">
        <v>12180.023999999999</v>
      </c>
      <c r="Y26" s="9">
        <v>14160.932000000001</v>
      </c>
      <c r="Z26" s="9">
        <v>13798.351000000001</v>
      </c>
      <c r="AA26" s="9">
        <v>14011.037</v>
      </c>
      <c r="AB26" s="9">
        <v>14453.206</v>
      </c>
      <c r="AC26" s="9">
        <v>14463.02</v>
      </c>
      <c r="AD26" s="9">
        <v>13463.971</v>
      </c>
      <c r="AE26" s="9">
        <v>13361.331</v>
      </c>
      <c r="AF26" s="9">
        <v>11825.548000000001</v>
      </c>
    </row>
    <row r="27" spans="1:32" x14ac:dyDescent="0.3">
      <c r="A27" s="4" t="s">
        <v>145</v>
      </c>
      <c r="B27" s="8" t="s">
        <v>146</v>
      </c>
      <c r="C27" s="9">
        <v>792.38</v>
      </c>
      <c r="D27" s="9">
        <v>973.23199999999997</v>
      </c>
      <c r="E27" s="9">
        <v>977.00800000000004</v>
      </c>
      <c r="F27" s="9">
        <v>1444.2760000000001</v>
      </c>
      <c r="G27" s="9">
        <v>1420.1479999999999</v>
      </c>
      <c r="H27" s="9">
        <v>1710.9480000000001</v>
      </c>
      <c r="I27" s="9">
        <v>1875.2349999999999</v>
      </c>
      <c r="J27" s="9">
        <v>1982.155</v>
      </c>
      <c r="K27" s="9">
        <v>1950.9860000000001</v>
      </c>
      <c r="L27" s="9">
        <v>2082.0349999999999</v>
      </c>
      <c r="M27" s="9">
        <v>2281.277</v>
      </c>
      <c r="N27" s="9">
        <v>2459.1640000000002</v>
      </c>
      <c r="O27" s="9">
        <v>2567.4270000000001</v>
      </c>
      <c r="P27" s="9">
        <v>2551.6750000000002</v>
      </c>
      <c r="Q27" s="9">
        <v>2424.6370000000002</v>
      </c>
      <c r="R27" s="9">
        <v>2452.04</v>
      </c>
      <c r="S27" s="9">
        <v>2400.085</v>
      </c>
      <c r="T27" s="9">
        <v>2389.915</v>
      </c>
      <c r="U27" s="9">
        <v>2486.2150000000001</v>
      </c>
      <c r="V27" s="9">
        <v>2561.4340000000002</v>
      </c>
      <c r="W27" s="9">
        <v>2585.364</v>
      </c>
      <c r="X27" s="9">
        <v>2637.3969999999999</v>
      </c>
      <c r="Y27" s="9">
        <v>2774.9609999999998</v>
      </c>
      <c r="Z27" s="9">
        <v>2552.25</v>
      </c>
      <c r="AA27" s="9">
        <v>2633.3530000000001</v>
      </c>
      <c r="AB27" s="9">
        <v>3145.82</v>
      </c>
      <c r="AC27" s="9">
        <v>3193.9479999999999</v>
      </c>
      <c r="AD27" s="9">
        <v>2957.1280000000002</v>
      </c>
      <c r="AE27" s="9">
        <v>2770.1080000000002</v>
      </c>
      <c r="AF27" s="9">
        <v>2712.3429999999998</v>
      </c>
    </row>
    <row r="28" spans="1:32" x14ac:dyDescent="0.3">
      <c r="A28" s="4" t="s">
        <v>137</v>
      </c>
      <c r="B28" s="8" t="s">
        <v>147</v>
      </c>
      <c r="C28" s="11">
        <f t="shared" ref="C28:AF28" si="4">C29-(C25+C26+C27)</f>
        <v>0</v>
      </c>
      <c r="D28" s="11">
        <f t="shared" si="4"/>
        <v>0.13500000000203727</v>
      </c>
      <c r="E28" s="11">
        <f t="shared" si="4"/>
        <v>-0.25400000000445289</v>
      </c>
      <c r="F28" s="11">
        <f t="shared" si="4"/>
        <v>0.25999999999839929</v>
      </c>
      <c r="G28" s="11">
        <f t="shared" si="4"/>
        <v>0</v>
      </c>
      <c r="H28" s="11">
        <f t="shared" si="4"/>
        <v>0</v>
      </c>
      <c r="I28" s="11">
        <f t="shared" si="4"/>
        <v>0</v>
      </c>
      <c r="J28" s="11">
        <f t="shared" si="4"/>
        <v>0</v>
      </c>
      <c r="K28" s="11">
        <f t="shared" si="4"/>
        <v>0</v>
      </c>
      <c r="L28" s="11">
        <f t="shared" si="4"/>
        <v>0</v>
      </c>
      <c r="M28" s="11">
        <f t="shared" si="4"/>
        <v>0</v>
      </c>
      <c r="N28" s="11">
        <f t="shared" si="4"/>
        <v>0</v>
      </c>
      <c r="O28" s="11">
        <f t="shared" si="4"/>
        <v>0</v>
      </c>
      <c r="P28" s="11">
        <f t="shared" si="4"/>
        <v>0</v>
      </c>
      <c r="Q28" s="11">
        <f t="shared" si="4"/>
        <v>0</v>
      </c>
      <c r="R28" s="11">
        <f t="shared" si="4"/>
        <v>0</v>
      </c>
      <c r="S28" s="11">
        <f t="shared" si="4"/>
        <v>0</v>
      </c>
      <c r="T28" s="11">
        <f t="shared" si="4"/>
        <v>0</v>
      </c>
      <c r="U28" s="11">
        <f t="shared" si="4"/>
        <v>0</v>
      </c>
      <c r="V28" s="11">
        <f t="shared" si="4"/>
        <v>0</v>
      </c>
      <c r="W28" s="11">
        <f t="shared" si="4"/>
        <v>0</v>
      </c>
      <c r="X28" s="11">
        <f t="shared" si="4"/>
        <v>0</v>
      </c>
      <c r="Y28" s="11">
        <f t="shared" si="4"/>
        <v>0</v>
      </c>
      <c r="Z28" s="11">
        <f t="shared" si="4"/>
        <v>0</v>
      </c>
      <c r="AA28" s="11">
        <f t="shared" si="4"/>
        <v>0</v>
      </c>
      <c r="AB28" s="11">
        <f t="shared" si="4"/>
        <v>0</v>
      </c>
      <c r="AC28" s="11">
        <f t="shared" si="4"/>
        <v>0</v>
      </c>
      <c r="AD28" s="11">
        <f t="shared" si="4"/>
        <v>0</v>
      </c>
      <c r="AE28" s="11">
        <f t="shared" si="4"/>
        <v>0</v>
      </c>
      <c r="AF28" s="11">
        <f t="shared" si="4"/>
        <v>0</v>
      </c>
    </row>
    <row r="29" spans="1:32" x14ac:dyDescent="0.3">
      <c r="A29" s="3" t="s">
        <v>148</v>
      </c>
      <c r="B29" s="8" t="s">
        <v>149</v>
      </c>
      <c r="C29" s="10">
        <f t="shared" ref="C29:AF29" si="5">C30-C24</f>
        <v>14657.767</v>
      </c>
      <c r="D29" s="10">
        <f t="shared" si="5"/>
        <v>17131.807000000001</v>
      </c>
      <c r="E29" s="10">
        <f t="shared" si="5"/>
        <v>16822.305999999997</v>
      </c>
      <c r="F29" s="10">
        <f t="shared" si="5"/>
        <v>19537.859</v>
      </c>
      <c r="G29" s="10">
        <f t="shared" si="5"/>
        <v>18796.891000000003</v>
      </c>
      <c r="H29" s="10">
        <f t="shared" si="5"/>
        <v>20214.11</v>
      </c>
      <c r="I29" s="10">
        <f t="shared" si="5"/>
        <v>20349.425000000003</v>
      </c>
      <c r="J29" s="10">
        <f t="shared" si="5"/>
        <v>20409.333999999999</v>
      </c>
      <c r="K29" s="10">
        <f t="shared" si="5"/>
        <v>19277.164000000001</v>
      </c>
      <c r="L29" s="10">
        <f t="shared" si="5"/>
        <v>19274.210000000003</v>
      </c>
      <c r="M29" s="10">
        <f t="shared" si="5"/>
        <v>19375.994000000002</v>
      </c>
      <c r="N29" s="10">
        <f t="shared" si="5"/>
        <v>20246.449000000001</v>
      </c>
      <c r="O29" s="10">
        <f t="shared" si="5"/>
        <v>20047.209000000003</v>
      </c>
      <c r="P29" s="10">
        <f t="shared" si="5"/>
        <v>19774.938999999998</v>
      </c>
      <c r="Q29" s="10">
        <f t="shared" si="5"/>
        <v>19268.121999999999</v>
      </c>
      <c r="R29" s="10">
        <f t="shared" si="5"/>
        <v>19886.392999999996</v>
      </c>
      <c r="S29" s="10">
        <f t="shared" si="5"/>
        <v>19346.079000000002</v>
      </c>
      <c r="T29" s="10">
        <f t="shared" si="5"/>
        <v>19309.453000000001</v>
      </c>
      <c r="U29" s="10">
        <f t="shared" si="5"/>
        <v>19055.440999999999</v>
      </c>
      <c r="V29" s="10">
        <f t="shared" si="5"/>
        <v>19283.023999999998</v>
      </c>
      <c r="W29" s="10">
        <f t="shared" si="5"/>
        <v>18173.094000000001</v>
      </c>
      <c r="X29" s="10">
        <f t="shared" si="5"/>
        <v>16846.203000000001</v>
      </c>
      <c r="Y29" s="10">
        <f t="shared" si="5"/>
        <v>18853.982</v>
      </c>
      <c r="Z29" s="10">
        <f t="shared" si="5"/>
        <v>18131.406999999999</v>
      </c>
      <c r="AA29" s="10">
        <f t="shared" si="5"/>
        <v>18341.052</v>
      </c>
      <c r="AB29" s="10">
        <f t="shared" si="5"/>
        <v>19205.43</v>
      </c>
      <c r="AC29" s="10">
        <f t="shared" si="5"/>
        <v>19248.940999999999</v>
      </c>
      <c r="AD29" s="10">
        <f t="shared" si="5"/>
        <v>18000.575000000001</v>
      </c>
      <c r="AE29" s="10">
        <f t="shared" si="5"/>
        <v>17757.936999999998</v>
      </c>
      <c r="AF29" s="10">
        <f t="shared" si="5"/>
        <v>16163.491</v>
      </c>
    </row>
    <row r="30" spans="1:32" x14ac:dyDescent="0.3">
      <c r="A30" s="3" t="s">
        <v>150</v>
      </c>
      <c r="B30" s="8" t="s">
        <v>151</v>
      </c>
      <c r="C30" s="9">
        <v>21515.574000000001</v>
      </c>
      <c r="D30" s="9">
        <v>24065.791000000001</v>
      </c>
      <c r="E30" s="9">
        <v>24080.205999999998</v>
      </c>
      <c r="F30" s="9">
        <v>26393.555</v>
      </c>
      <c r="G30" s="9">
        <v>26650.616000000002</v>
      </c>
      <c r="H30" s="9">
        <v>27840.527999999998</v>
      </c>
      <c r="I30" s="9">
        <v>28289.22</v>
      </c>
      <c r="J30" s="9">
        <v>28215.118999999999</v>
      </c>
      <c r="K30" s="9">
        <v>27238.934000000001</v>
      </c>
      <c r="L30" s="9">
        <v>27107.098000000002</v>
      </c>
      <c r="M30" s="9">
        <v>27425.24</v>
      </c>
      <c r="N30" s="9">
        <v>28735.415000000001</v>
      </c>
      <c r="O30" s="9">
        <v>27786.865000000002</v>
      </c>
      <c r="P30" s="9">
        <v>27274.960999999999</v>
      </c>
      <c r="Q30" s="9">
        <v>27034.045999999998</v>
      </c>
      <c r="R30" s="9">
        <v>27817.366999999998</v>
      </c>
      <c r="S30" s="9">
        <v>27662.149000000001</v>
      </c>
      <c r="T30" s="9">
        <v>27985.258000000002</v>
      </c>
      <c r="U30" s="9">
        <v>27394.159</v>
      </c>
      <c r="V30" s="9">
        <v>28143.679</v>
      </c>
      <c r="W30" s="9">
        <v>27462.311000000002</v>
      </c>
      <c r="X30" s="9">
        <v>26986.202000000001</v>
      </c>
      <c r="Y30" s="9">
        <v>29561.108</v>
      </c>
      <c r="Z30" s="9">
        <v>28886.807000000001</v>
      </c>
      <c r="AA30" s="9">
        <v>28059.571</v>
      </c>
      <c r="AB30" s="9">
        <v>28147.764999999999</v>
      </c>
      <c r="AC30" s="9">
        <v>28980.799999999999</v>
      </c>
      <c r="AD30" s="9">
        <v>28981.505000000001</v>
      </c>
      <c r="AE30" s="9">
        <v>29889.514999999999</v>
      </c>
      <c r="AF30" s="9">
        <v>28298.388999999999</v>
      </c>
    </row>
    <row r="31" spans="1:32" x14ac:dyDescent="0.3">
      <c r="A31" s="3" t="s">
        <v>152</v>
      </c>
      <c r="B31" s="8" t="s">
        <v>153</v>
      </c>
      <c r="C31" s="9">
        <v>5703.058</v>
      </c>
      <c r="D31" s="9">
        <v>6105.5479999999998</v>
      </c>
      <c r="E31" s="9">
        <v>6861.5050000000001</v>
      </c>
      <c r="F31" s="9">
        <v>7582.1570000000002</v>
      </c>
      <c r="G31" s="9">
        <v>8409.2939999999999</v>
      </c>
      <c r="H31" s="9">
        <v>9334.7530000000006</v>
      </c>
      <c r="I31" s="9">
        <v>10333.323</v>
      </c>
      <c r="J31" s="9">
        <v>11065.24</v>
      </c>
      <c r="K31" s="9">
        <v>12884.08</v>
      </c>
      <c r="L31" s="9">
        <v>13863.870999999999</v>
      </c>
      <c r="M31" s="9">
        <v>15314.617</v>
      </c>
      <c r="N31" s="9">
        <v>15849.248</v>
      </c>
      <c r="O31" s="9">
        <v>17544.039000000001</v>
      </c>
      <c r="P31" s="9">
        <v>19075.973999999998</v>
      </c>
      <c r="Q31" s="9">
        <v>20528.141</v>
      </c>
      <c r="R31" s="9">
        <v>20777.401000000002</v>
      </c>
      <c r="S31" s="9">
        <v>21828.196</v>
      </c>
      <c r="T31" s="9">
        <v>22832.215</v>
      </c>
      <c r="U31" s="9">
        <v>22107.627</v>
      </c>
      <c r="V31" s="9">
        <v>20588.312999999998</v>
      </c>
      <c r="W31" s="9">
        <v>21365.41</v>
      </c>
      <c r="X31" s="9">
        <v>22112.692999999999</v>
      </c>
      <c r="Y31" s="9">
        <v>22720.736000000001</v>
      </c>
      <c r="Z31" s="9">
        <v>24743.566999999999</v>
      </c>
      <c r="AA31" s="9">
        <v>24028.073</v>
      </c>
      <c r="AB31" s="9">
        <v>24951.899000000001</v>
      </c>
      <c r="AC31" s="9">
        <v>25954.035</v>
      </c>
      <c r="AD31" s="9">
        <v>26615.488000000001</v>
      </c>
      <c r="AE31" s="9">
        <v>31126.399000000001</v>
      </c>
      <c r="AF31" s="9">
        <v>30152.052</v>
      </c>
    </row>
    <row r="32" spans="1:32" x14ac:dyDescent="0.3">
      <c r="A32" s="3" t="s">
        <v>154</v>
      </c>
      <c r="B32" s="8" t="s">
        <v>77</v>
      </c>
      <c r="C32" s="10">
        <f t="shared" ref="C32:AF32" si="6">C30+C31</f>
        <v>27218.632000000001</v>
      </c>
      <c r="D32" s="10">
        <f t="shared" si="6"/>
        <v>30171.339</v>
      </c>
      <c r="E32" s="10">
        <f t="shared" si="6"/>
        <v>30941.710999999999</v>
      </c>
      <c r="F32" s="10">
        <f t="shared" si="6"/>
        <v>33975.712</v>
      </c>
      <c r="G32" s="10">
        <f t="shared" si="6"/>
        <v>35059.910000000003</v>
      </c>
      <c r="H32" s="10">
        <f t="shared" si="6"/>
        <v>37175.281000000003</v>
      </c>
      <c r="I32" s="10">
        <f t="shared" si="6"/>
        <v>38622.543000000005</v>
      </c>
      <c r="J32" s="10">
        <f t="shared" si="6"/>
        <v>39280.358999999997</v>
      </c>
      <c r="K32" s="10">
        <f t="shared" si="6"/>
        <v>40123.014000000003</v>
      </c>
      <c r="L32" s="10">
        <f t="shared" si="6"/>
        <v>40970.968999999997</v>
      </c>
      <c r="M32" s="10">
        <f t="shared" si="6"/>
        <v>42739.857000000004</v>
      </c>
      <c r="N32" s="10">
        <f t="shared" si="6"/>
        <v>44584.663</v>
      </c>
      <c r="O32" s="10">
        <f t="shared" si="6"/>
        <v>45330.904000000002</v>
      </c>
      <c r="P32" s="10">
        <f t="shared" si="6"/>
        <v>46350.934999999998</v>
      </c>
      <c r="Q32" s="10">
        <f t="shared" si="6"/>
        <v>47562.186999999998</v>
      </c>
      <c r="R32" s="10">
        <f t="shared" si="6"/>
        <v>48594.767999999996</v>
      </c>
      <c r="S32" s="10">
        <f t="shared" si="6"/>
        <v>49490.345000000001</v>
      </c>
      <c r="T32" s="10">
        <f t="shared" si="6"/>
        <v>50817.472999999998</v>
      </c>
      <c r="U32" s="10">
        <f t="shared" si="6"/>
        <v>49501.786</v>
      </c>
      <c r="V32" s="10">
        <f t="shared" si="6"/>
        <v>48731.991999999998</v>
      </c>
      <c r="W32" s="10">
        <f t="shared" si="6"/>
        <v>48827.721000000005</v>
      </c>
      <c r="X32" s="10">
        <f t="shared" si="6"/>
        <v>49098.895000000004</v>
      </c>
      <c r="Y32" s="10">
        <f t="shared" si="6"/>
        <v>52281.843999999997</v>
      </c>
      <c r="Z32" s="10">
        <f t="shared" si="6"/>
        <v>53630.373999999996</v>
      </c>
      <c r="AA32" s="10">
        <f t="shared" si="6"/>
        <v>52087.644</v>
      </c>
      <c r="AB32" s="10">
        <f t="shared" si="6"/>
        <v>53099.664000000004</v>
      </c>
      <c r="AC32" s="10">
        <f t="shared" si="6"/>
        <v>54934.834999999999</v>
      </c>
      <c r="AD32" s="10">
        <f t="shared" si="6"/>
        <v>55596.993000000002</v>
      </c>
      <c r="AE32" s="10">
        <f t="shared" si="6"/>
        <v>61015.914000000004</v>
      </c>
      <c r="AF32" s="10">
        <f t="shared" si="6"/>
        <v>58450.440999999999</v>
      </c>
    </row>
    <row r="34" spans="1:32" x14ac:dyDescent="0.3">
      <c r="A34" s="6" t="s">
        <v>155</v>
      </c>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spans="1:32" x14ac:dyDescent="0.3">
      <c r="A35" s="4" t="s">
        <v>156</v>
      </c>
      <c r="B35" s="8" t="s">
        <v>157</v>
      </c>
      <c r="C35" s="12">
        <f t="shared" ref="C35:AF35" si="7">C15-C32</f>
        <v>0</v>
      </c>
      <c r="D35" s="12">
        <f t="shared" si="7"/>
        <v>0</v>
      </c>
      <c r="E35" s="12">
        <f t="shared" si="7"/>
        <v>0</v>
      </c>
      <c r="F35" s="12">
        <f t="shared" si="7"/>
        <v>0</v>
      </c>
      <c r="G35" s="12">
        <f t="shared" si="7"/>
        <v>0</v>
      </c>
      <c r="H35" s="12">
        <f t="shared" si="7"/>
        <v>0</v>
      </c>
      <c r="I35" s="12">
        <f t="shared" si="7"/>
        <v>0</v>
      </c>
      <c r="J35" s="12">
        <f t="shared" si="7"/>
        <v>0</v>
      </c>
      <c r="K35" s="12">
        <f t="shared" si="7"/>
        <v>0</v>
      </c>
      <c r="L35" s="12">
        <f t="shared" si="7"/>
        <v>0</v>
      </c>
      <c r="M35" s="12">
        <f t="shared" si="7"/>
        <v>0</v>
      </c>
      <c r="N35" s="12">
        <f t="shared" si="7"/>
        <v>0</v>
      </c>
      <c r="O35" s="12">
        <f t="shared" si="7"/>
        <v>0</v>
      </c>
      <c r="P35" s="12">
        <f t="shared" si="7"/>
        <v>0</v>
      </c>
      <c r="Q35" s="12">
        <f t="shared" si="7"/>
        <v>0</v>
      </c>
      <c r="R35" s="12">
        <f t="shared" si="7"/>
        <v>0</v>
      </c>
      <c r="S35" s="12">
        <f t="shared" si="7"/>
        <v>0</v>
      </c>
      <c r="T35" s="12">
        <f t="shared" si="7"/>
        <v>0</v>
      </c>
      <c r="U35" s="12">
        <f t="shared" si="7"/>
        <v>0</v>
      </c>
      <c r="V35" s="12">
        <f t="shared" si="7"/>
        <v>0</v>
      </c>
      <c r="W35" s="12">
        <f t="shared" si="7"/>
        <v>0</v>
      </c>
      <c r="X35" s="12">
        <f t="shared" si="7"/>
        <v>0</v>
      </c>
      <c r="Y35" s="12">
        <f t="shared" si="7"/>
        <v>0</v>
      </c>
      <c r="Z35" s="12">
        <f t="shared" si="7"/>
        <v>0</v>
      </c>
      <c r="AA35" s="12">
        <f t="shared" si="7"/>
        <v>0</v>
      </c>
      <c r="AB35" s="12">
        <f t="shared" si="7"/>
        <v>0</v>
      </c>
      <c r="AC35" s="12">
        <f t="shared" si="7"/>
        <v>0</v>
      </c>
      <c r="AD35" s="12">
        <f t="shared" si="7"/>
        <v>0</v>
      </c>
      <c r="AE35" s="12">
        <f t="shared" si="7"/>
        <v>0</v>
      </c>
      <c r="AF35" s="12">
        <f t="shared" si="7"/>
        <v>0</v>
      </c>
    </row>
    <row r="36" spans="1:32" x14ac:dyDescent="0.3">
      <c r="A36" s="4" t="s">
        <v>158</v>
      </c>
      <c r="B36" s="8" t="s">
        <v>159</v>
      </c>
      <c r="C36" s="12">
        <f>C10-4168.907</f>
        <v>0</v>
      </c>
      <c r="D36" s="12">
        <f>D10-5877.157</f>
        <v>0</v>
      </c>
      <c r="E36" s="12">
        <f>E10-5327.758</f>
        <v>0</v>
      </c>
      <c r="F36" s="12">
        <f>F10-6178.504</f>
        <v>0</v>
      </c>
      <c r="G36" s="12">
        <f>G10-6447.781</f>
        <v>0</v>
      </c>
      <c r="H36" s="12">
        <f>H10-8564.139</f>
        <v>0</v>
      </c>
      <c r="I36" s="12">
        <f>I10-9826.48</f>
        <v>0</v>
      </c>
      <c r="J36" s="12">
        <f>J10-9761.58</f>
        <v>0</v>
      </c>
      <c r="K36" s="12">
        <f>K10-10107.508</f>
        <v>0</v>
      </c>
      <c r="L36" s="12">
        <f>L10-9604.276</f>
        <v>0</v>
      </c>
      <c r="M36" s="12">
        <f>M10-9415.787</f>
        <v>0</v>
      </c>
      <c r="N36" s="12">
        <f>N10-8069.825</f>
        <v>0</v>
      </c>
      <c r="O36" s="12">
        <f>O10-8098.015</f>
        <v>0</v>
      </c>
      <c r="P36" s="12">
        <f>P10-7840.778</f>
        <v>0</v>
      </c>
      <c r="Q36" s="12">
        <f>Q10-8816.903</f>
        <v>0</v>
      </c>
      <c r="R36" s="12">
        <f>R10-9266.473</f>
        <v>0</v>
      </c>
      <c r="S36" s="12">
        <f>S10-10482.623</f>
        <v>0</v>
      </c>
      <c r="T36" s="12">
        <f>T10-11506.336</f>
        <v>0</v>
      </c>
      <c r="U36" s="12">
        <f>U10-10779.474</f>
        <v>0</v>
      </c>
      <c r="V36" s="12">
        <f>V10-9918.133</f>
        <v>0</v>
      </c>
      <c r="W36" s="12">
        <f>W10-9921.313</f>
        <v>0</v>
      </c>
      <c r="X36" s="12">
        <f>X10-9615.553</f>
        <v>0</v>
      </c>
      <c r="Y36" s="12">
        <f>Y10-12129.099</f>
        <v>0</v>
      </c>
      <c r="Z36" s="12">
        <f>Z10-13100.379</f>
        <v>0</v>
      </c>
      <c r="AA36" s="12">
        <f>AA10-11697.632</f>
        <v>0</v>
      </c>
      <c r="AB36" s="12">
        <f>AB10-11993.106</f>
        <v>0</v>
      </c>
      <c r="AC36" s="12">
        <f>AC10-12962.935</f>
        <v>0</v>
      </c>
      <c r="AD36" s="12">
        <f>AD10-13020.191</f>
        <v>0</v>
      </c>
      <c r="AE36" s="12">
        <f>AE10-17070.982</f>
        <v>0</v>
      </c>
      <c r="AF36" s="12">
        <f>AF10-13853.303</f>
        <v>0</v>
      </c>
    </row>
    <row r="37" spans="1:32" x14ac:dyDescent="0.3">
      <c r="A37" s="4" t="s">
        <v>160</v>
      </c>
      <c r="B37" s="8" t="s">
        <v>161</v>
      </c>
      <c r="C37" s="12">
        <f t="shared" ref="C37:AF37" si="8">C23</f>
        <v>0</v>
      </c>
      <c r="D37" s="12">
        <f t="shared" si="8"/>
        <v>0</v>
      </c>
      <c r="E37" s="12">
        <f t="shared" si="8"/>
        <v>0</v>
      </c>
      <c r="F37" s="12">
        <f t="shared" si="8"/>
        <v>-0.25499999999919964</v>
      </c>
      <c r="G37" s="12">
        <f t="shared" si="8"/>
        <v>-0.43800000000010186</v>
      </c>
      <c r="H37" s="12">
        <f t="shared" si="8"/>
        <v>0.42199999999957072</v>
      </c>
      <c r="I37" s="12">
        <f t="shared" si="8"/>
        <v>-0.28099999999994907</v>
      </c>
      <c r="J37" s="12">
        <f t="shared" si="8"/>
        <v>-7.9999999998108251E-3</v>
      </c>
      <c r="K37" s="12">
        <f t="shared" si="8"/>
        <v>5.9000000000196451E-2</v>
      </c>
      <c r="L37" s="12">
        <f t="shared" si="8"/>
        <v>0.49199999999927968</v>
      </c>
      <c r="M37" s="12">
        <f t="shared" si="8"/>
        <v>0.10499999999956344</v>
      </c>
      <c r="N37" s="12">
        <f t="shared" si="8"/>
        <v>0.34200000000055297</v>
      </c>
      <c r="O37" s="12">
        <f t="shared" si="8"/>
        <v>4.7999999999774445E-2</v>
      </c>
      <c r="P37" s="12">
        <f t="shared" si="8"/>
        <v>-0.25700000000051659</v>
      </c>
      <c r="Q37" s="12">
        <f t="shared" si="8"/>
        <v>0.32299999999941065</v>
      </c>
      <c r="R37" s="12">
        <f t="shared" si="8"/>
        <v>-0.33899999999994179</v>
      </c>
      <c r="S37" s="12">
        <f t="shared" si="8"/>
        <v>0.43399999999928696</v>
      </c>
      <c r="T37" s="12">
        <f t="shared" si="8"/>
        <v>0.30500000000029104</v>
      </c>
      <c r="U37" s="12">
        <f t="shared" si="8"/>
        <v>-0.20099999999911233</v>
      </c>
      <c r="V37" s="12">
        <f t="shared" si="8"/>
        <v>-3.0999999999039574E-2</v>
      </c>
      <c r="W37" s="12">
        <f t="shared" si="8"/>
        <v>0.42000000000189175</v>
      </c>
      <c r="X37" s="12">
        <f t="shared" si="8"/>
        <v>-0.23899999999957799</v>
      </c>
      <c r="Y37" s="12">
        <f t="shared" si="8"/>
        <v>0.44400000000132422</v>
      </c>
      <c r="Z37" s="12">
        <f t="shared" si="8"/>
        <v>-0.18699999999807915</v>
      </c>
      <c r="AA37" s="12">
        <f t="shared" si="8"/>
        <v>-0.3930000000000291</v>
      </c>
      <c r="AB37" s="12">
        <f t="shared" si="8"/>
        <v>0.36099999999896681</v>
      </c>
      <c r="AC37" s="12">
        <f t="shared" si="8"/>
        <v>-0.3250000000007276</v>
      </c>
      <c r="AD37" s="12">
        <f t="shared" si="8"/>
        <v>-0.26999999999861757</v>
      </c>
      <c r="AE37" s="12">
        <f t="shared" si="8"/>
        <v>0.63299999999981083</v>
      </c>
      <c r="AF37" s="12">
        <f t="shared" si="8"/>
        <v>0.2139999999981228</v>
      </c>
    </row>
    <row r="38" spans="1:32" x14ac:dyDescent="0.3">
      <c r="A38" s="4" t="s">
        <v>162</v>
      </c>
      <c r="B38" s="8" t="s">
        <v>161</v>
      </c>
      <c r="C38" s="12">
        <f t="shared" ref="C38:AF38" si="9">C28</f>
        <v>0</v>
      </c>
      <c r="D38" s="12">
        <f t="shared" si="9"/>
        <v>0.13500000000203727</v>
      </c>
      <c r="E38" s="12">
        <f t="shared" si="9"/>
        <v>-0.25400000000445289</v>
      </c>
      <c r="F38" s="12">
        <f t="shared" si="9"/>
        <v>0.25999999999839929</v>
      </c>
      <c r="G38" s="12">
        <f t="shared" si="9"/>
        <v>0</v>
      </c>
      <c r="H38" s="12">
        <f t="shared" si="9"/>
        <v>0</v>
      </c>
      <c r="I38" s="12">
        <f t="shared" si="9"/>
        <v>0</v>
      </c>
      <c r="J38" s="12">
        <f t="shared" si="9"/>
        <v>0</v>
      </c>
      <c r="K38" s="12">
        <f t="shared" si="9"/>
        <v>0</v>
      </c>
      <c r="L38" s="12">
        <f t="shared" si="9"/>
        <v>0</v>
      </c>
      <c r="M38" s="12">
        <f t="shared" si="9"/>
        <v>0</v>
      </c>
      <c r="N38" s="12">
        <f t="shared" si="9"/>
        <v>0</v>
      </c>
      <c r="O38" s="12">
        <f t="shared" si="9"/>
        <v>0</v>
      </c>
      <c r="P38" s="12">
        <f t="shared" si="9"/>
        <v>0</v>
      </c>
      <c r="Q38" s="12">
        <f t="shared" si="9"/>
        <v>0</v>
      </c>
      <c r="R38" s="12">
        <f t="shared" si="9"/>
        <v>0</v>
      </c>
      <c r="S38" s="12">
        <f t="shared" si="9"/>
        <v>0</v>
      </c>
      <c r="T38" s="12">
        <f t="shared" si="9"/>
        <v>0</v>
      </c>
      <c r="U38" s="12">
        <f t="shared" si="9"/>
        <v>0</v>
      </c>
      <c r="V38" s="12">
        <f t="shared" si="9"/>
        <v>0</v>
      </c>
      <c r="W38" s="12">
        <f t="shared" si="9"/>
        <v>0</v>
      </c>
      <c r="X38" s="12">
        <f t="shared" si="9"/>
        <v>0</v>
      </c>
      <c r="Y38" s="12">
        <f t="shared" si="9"/>
        <v>0</v>
      </c>
      <c r="Z38" s="12">
        <f t="shared" si="9"/>
        <v>0</v>
      </c>
      <c r="AA38" s="12">
        <f t="shared" si="9"/>
        <v>0</v>
      </c>
      <c r="AB38" s="12">
        <f t="shared" si="9"/>
        <v>0</v>
      </c>
      <c r="AC38" s="12">
        <f t="shared" si="9"/>
        <v>0</v>
      </c>
      <c r="AD38" s="12">
        <f t="shared" si="9"/>
        <v>0</v>
      </c>
      <c r="AE38" s="12">
        <f t="shared" si="9"/>
        <v>0</v>
      </c>
      <c r="AF38" s="12">
        <f t="shared" si="9"/>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0"/>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163</v>
      </c>
    </row>
    <row r="2" spans="1:32" x14ac:dyDescent="0.3">
      <c r="A2" s="2" t="s">
        <v>164</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165</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3" t="s">
        <v>166</v>
      </c>
      <c r="B7" s="8" t="s">
        <v>167</v>
      </c>
      <c r="C7" s="9">
        <v>-379.79899999999998</v>
      </c>
      <c r="D7" s="9">
        <v>-543.75400000000002</v>
      </c>
      <c r="E7" s="9">
        <v>-501.79399999999998</v>
      </c>
      <c r="F7" s="9">
        <v>-1461.9749999999999</v>
      </c>
      <c r="G7" s="9">
        <v>259.91199999999998</v>
      </c>
      <c r="H7" s="9">
        <v>1041.076</v>
      </c>
      <c r="I7" s="9">
        <v>1263.761</v>
      </c>
      <c r="J7" s="9">
        <v>-137.672</v>
      </c>
      <c r="K7" s="9">
        <v>777.26599999999996</v>
      </c>
      <c r="L7" s="9">
        <v>-63.761000000000003</v>
      </c>
      <c r="M7" s="9">
        <v>82.379000000000005</v>
      </c>
      <c r="N7" s="9">
        <v>-403.274</v>
      </c>
      <c r="O7" s="9">
        <v>922.83900000000006</v>
      </c>
      <c r="P7" s="9">
        <v>102.75</v>
      </c>
      <c r="Q7" s="9">
        <v>556.80999999999995</v>
      </c>
      <c r="R7" s="9">
        <v>443.858</v>
      </c>
      <c r="S7" s="9">
        <v>2178.7399999999998</v>
      </c>
      <c r="T7" s="9">
        <v>1440.232</v>
      </c>
      <c r="U7" s="9">
        <v>1992.3150000000001</v>
      </c>
      <c r="V7" s="9">
        <v>1663.0139999999999</v>
      </c>
      <c r="W7" s="9">
        <v>2212.5219999999999</v>
      </c>
      <c r="X7" s="9">
        <v>1290.847</v>
      </c>
      <c r="Y7" s="9">
        <v>2321.1010000000001</v>
      </c>
      <c r="Z7" s="9">
        <v>1536.894</v>
      </c>
      <c r="AA7" s="9">
        <v>2789.1990000000001</v>
      </c>
      <c r="AB7" s="9">
        <v>2423.2579999999998</v>
      </c>
      <c r="AC7" s="9">
        <v>2825.174</v>
      </c>
      <c r="AD7" s="9">
        <v>2111.6419999999998</v>
      </c>
      <c r="AE7" s="9">
        <v>5290.2049999999999</v>
      </c>
      <c r="AF7" s="9">
        <v>1743.8119999999999</v>
      </c>
    </row>
    <row r="8" spans="1:32" x14ac:dyDescent="0.3">
      <c r="A8" s="4" t="s">
        <v>168</v>
      </c>
      <c r="B8" s="8" t="s">
        <v>169</v>
      </c>
      <c r="C8" s="9">
        <v>60.381</v>
      </c>
      <c r="D8" s="9">
        <v>39.584000000000003</v>
      </c>
      <c r="E8" s="9">
        <v>45.332999999999998</v>
      </c>
      <c r="F8" s="9">
        <v>107.73699999999999</v>
      </c>
      <c r="G8" s="9">
        <v>98.015000000000001</v>
      </c>
      <c r="H8" s="9">
        <v>141.74100000000001</v>
      </c>
      <c r="I8" s="9">
        <v>109.81100000000001</v>
      </c>
      <c r="J8" s="9">
        <v>148.35599999999999</v>
      </c>
      <c r="K8" s="9">
        <v>81.001000000000005</v>
      </c>
      <c r="L8" s="9">
        <v>110.27800000000001</v>
      </c>
      <c r="M8" s="9">
        <v>167.327</v>
      </c>
      <c r="N8" s="9">
        <v>165.97900000000001</v>
      </c>
      <c r="O8" s="9">
        <v>121.158</v>
      </c>
      <c r="P8" s="9">
        <v>90.018000000000001</v>
      </c>
      <c r="Q8" s="9">
        <v>84.96</v>
      </c>
      <c r="R8" s="9">
        <v>111.593</v>
      </c>
      <c r="S8" s="9">
        <v>62.018999999999998</v>
      </c>
      <c r="T8" s="9">
        <v>100.97199999999999</v>
      </c>
      <c r="U8" s="9">
        <v>103.929</v>
      </c>
      <c r="V8" s="9">
        <v>81.632000000000005</v>
      </c>
      <c r="W8" s="9">
        <v>75.713999999999999</v>
      </c>
      <c r="X8" s="9">
        <v>78.287000000000006</v>
      </c>
      <c r="Y8" s="9">
        <v>126.863</v>
      </c>
      <c r="Z8" s="9">
        <v>158.67400000000001</v>
      </c>
      <c r="AA8" s="9">
        <v>128.27699999999999</v>
      </c>
      <c r="AB8" s="9">
        <v>155.88900000000001</v>
      </c>
      <c r="AC8" s="9">
        <v>164.71899999999999</v>
      </c>
      <c r="AD8" s="9">
        <v>239.33500000000001</v>
      </c>
      <c r="AE8" s="9">
        <v>196.13</v>
      </c>
      <c r="AF8" s="9">
        <v>218.64400000000001</v>
      </c>
    </row>
    <row r="9" spans="1:32" x14ac:dyDescent="0.3">
      <c r="A9" s="3" t="s">
        <v>170</v>
      </c>
      <c r="B9" s="8" t="s">
        <v>171</v>
      </c>
      <c r="C9" s="10">
        <f t="shared" ref="C9:AF9" si="0">C7-C8</f>
        <v>-440.17999999999995</v>
      </c>
      <c r="D9" s="10">
        <f t="shared" si="0"/>
        <v>-583.33799999999997</v>
      </c>
      <c r="E9" s="10">
        <f t="shared" si="0"/>
        <v>-547.12699999999995</v>
      </c>
      <c r="F9" s="10">
        <f t="shared" si="0"/>
        <v>-1569.712</v>
      </c>
      <c r="G9" s="10">
        <f t="shared" si="0"/>
        <v>161.89699999999999</v>
      </c>
      <c r="H9" s="10">
        <f t="shared" si="0"/>
        <v>899.33500000000004</v>
      </c>
      <c r="I9" s="10">
        <f t="shared" si="0"/>
        <v>1153.95</v>
      </c>
      <c r="J9" s="10">
        <f t="shared" si="0"/>
        <v>-286.02800000000002</v>
      </c>
      <c r="K9" s="10">
        <f t="shared" si="0"/>
        <v>696.26499999999999</v>
      </c>
      <c r="L9" s="10">
        <f t="shared" si="0"/>
        <v>-174.03900000000002</v>
      </c>
      <c r="M9" s="10">
        <f t="shared" si="0"/>
        <v>-84.947999999999993</v>
      </c>
      <c r="N9" s="10">
        <f t="shared" si="0"/>
        <v>-569.25300000000004</v>
      </c>
      <c r="O9" s="10">
        <f t="shared" si="0"/>
        <v>801.68100000000004</v>
      </c>
      <c r="P9" s="10">
        <f t="shared" si="0"/>
        <v>12.731999999999999</v>
      </c>
      <c r="Q9" s="10">
        <f t="shared" si="0"/>
        <v>471.84999999999997</v>
      </c>
      <c r="R9" s="10">
        <f t="shared" si="0"/>
        <v>332.26499999999999</v>
      </c>
      <c r="S9" s="10">
        <f t="shared" si="0"/>
        <v>2116.721</v>
      </c>
      <c r="T9" s="10">
        <f t="shared" si="0"/>
        <v>1339.26</v>
      </c>
      <c r="U9" s="10">
        <f t="shared" si="0"/>
        <v>1888.386</v>
      </c>
      <c r="V9" s="10">
        <f t="shared" si="0"/>
        <v>1581.3819999999998</v>
      </c>
      <c r="W9" s="10">
        <f t="shared" si="0"/>
        <v>2136.808</v>
      </c>
      <c r="X9" s="10">
        <f t="shared" si="0"/>
        <v>1212.56</v>
      </c>
      <c r="Y9" s="10">
        <f t="shared" si="0"/>
        <v>2194.2380000000003</v>
      </c>
      <c r="Z9" s="10">
        <f t="shared" si="0"/>
        <v>1378.22</v>
      </c>
      <c r="AA9" s="10">
        <f t="shared" si="0"/>
        <v>2660.922</v>
      </c>
      <c r="AB9" s="10">
        <f t="shared" si="0"/>
        <v>2267.3689999999997</v>
      </c>
      <c r="AC9" s="10">
        <f t="shared" si="0"/>
        <v>2660.4549999999999</v>
      </c>
      <c r="AD9" s="10">
        <f t="shared" si="0"/>
        <v>1872.3069999999998</v>
      </c>
      <c r="AE9" s="10">
        <f t="shared" si="0"/>
        <v>5094.0749999999998</v>
      </c>
      <c r="AF9" s="10">
        <f t="shared" si="0"/>
        <v>1525.1679999999999</v>
      </c>
    </row>
    <row r="10" spans="1:32" x14ac:dyDescent="0.3">
      <c r="A10" s="4" t="s">
        <v>172</v>
      </c>
      <c r="B10" s="8" t="s">
        <v>173</v>
      </c>
      <c r="C10" s="9">
        <v>-80.102999999999994</v>
      </c>
      <c r="D10" s="9">
        <v>-50.036000000000001</v>
      </c>
      <c r="E10" s="9">
        <v>-49.353999999999999</v>
      </c>
      <c r="F10" s="9">
        <v>-207.571</v>
      </c>
      <c r="G10" s="9">
        <v>-98.302999999999997</v>
      </c>
      <c r="H10" s="9">
        <v>-142.001</v>
      </c>
      <c r="I10" s="9">
        <v>-118.651</v>
      </c>
      <c r="J10" s="9">
        <v>-146.399</v>
      </c>
      <c r="K10" s="9">
        <v>-85.616</v>
      </c>
      <c r="L10" s="9">
        <v>-111.27800000000001</v>
      </c>
      <c r="M10" s="9">
        <v>-188.631</v>
      </c>
      <c r="N10" s="9">
        <v>-954.32799999999997</v>
      </c>
      <c r="O10" s="9">
        <v>-245.679</v>
      </c>
      <c r="P10" s="9">
        <v>-158.89400000000001</v>
      </c>
      <c r="Q10" s="9">
        <v>-84.96</v>
      </c>
      <c r="R10" s="9">
        <v>-1586.8589999999999</v>
      </c>
      <c r="S10" s="9">
        <v>-263.65300000000002</v>
      </c>
      <c r="T10" s="9">
        <v>97.736999999999995</v>
      </c>
      <c r="U10" s="9">
        <v>296.07100000000003</v>
      </c>
      <c r="V10" s="9">
        <v>411.596</v>
      </c>
      <c r="W10" s="9">
        <v>-75.713999999999999</v>
      </c>
      <c r="X10" s="9">
        <v>-78.287000000000006</v>
      </c>
      <c r="Y10" s="9">
        <v>-1869.1089999999999</v>
      </c>
      <c r="Z10" s="9">
        <v>-158.67400000000001</v>
      </c>
      <c r="AA10" s="9">
        <v>485.66199999999998</v>
      </c>
      <c r="AB10" s="9">
        <v>768.68399999999997</v>
      </c>
      <c r="AC10" s="9">
        <v>43.871000000000002</v>
      </c>
      <c r="AD10" s="9">
        <v>-256.529</v>
      </c>
      <c r="AE10" s="9">
        <v>-781.87400000000002</v>
      </c>
      <c r="AF10" s="9">
        <v>-218.64400000000001</v>
      </c>
    </row>
    <row r="11" spans="1:32" x14ac:dyDescent="0.3">
      <c r="A11" s="4" t="s">
        <v>174</v>
      </c>
      <c r="B11" s="8" t="s">
        <v>175</v>
      </c>
      <c r="C11" s="9">
        <v>22.972000000000001</v>
      </c>
      <c r="D11" s="9">
        <v>2246.9</v>
      </c>
      <c r="E11" s="9">
        <v>11.989000000000001</v>
      </c>
      <c r="F11" s="9">
        <v>2223.8009999999999</v>
      </c>
      <c r="G11" s="9">
        <v>43.694000000000003</v>
      </c>
      <c r="H11" s="9">
        <v>1090.9649999999999</v>
      </c>
      <c r="I11" s="9">
        <v>68.665000000000006</v>
      </c>
      <c r="J11" s="9">
        <v>33.987000000000002</v>
      </c>
      <c r="K11" s="9">
        <v>-451.92899999999997</v>
      </c>
      <c r="L11" s="9">
        <v>-480.27300000000002</v>
      </c>
      <c r="M11" s="9">
        <v>-81.555000000000007</v>
      </c>
      <c r="N11" s="9">
        <v>-136.01900000000001</v>
      </c>
      <c r="O11" s="9">
        <v>-686.322</v>
      </c>
      <c r="P11" s="9">
        <v>11.25</v>
      </c>
      <c r="Q11" s="9">
        <v>4.1130000000000004</v>
      </c>
      <c r="R11" s="9">
        <v>6.7050000000000001</v>
      </c>
      <c r="S11" s="9">
        <v>-374.07299999999998</v>
      </c>
      <c r="T11" s="9">
        <v>-649.34900000000005</v>
      </c>
      <c r="U11" s="9">
        <v>-2475.1080000000002</v>
      </c>
      <c r="V11" s="9">
        <v>-2452.2730000000001</v>
      </c>
      <c r="W11" s="9">
        <v>-2132.944</v>
      </c>
      <c r="X11" s="9">
        <v>-1489.3810000000001</v>
      </c>
      <c r="Y11" s="9">
        <v>226.596</v>
      </c>
      <c r="Z11" s="9">
        <v>-678.69799999999998</v>
      </c>
      <c r="AA11" s="9">
        <v>-4028.3159999999998</v>
      </c>
      <c r="AB11" s="9">
        <v>-2502.8679999999999</v>
      </c>
      <c r="AC11" s="9">
        <v>-1737.029</v>
      </c>
      <c r="AD11" s="9">
        <v>-2077.41</v>
      </c>
      <c r="AE11" s="9">
        <v>-1230.8140000000001</v>
      </c>
      <c r="AF11" s="9">
        <v>-4669.6270000000004</v>
      </c>
    </row>
    <row r="12" spans="1:32" x14ac:dyDescent="0.3">
      <c r="A12" s="4" t="s">
        <v>176</v>
      </c>
      <c r="B12" s="8" t="s">
        <v>177</v>
      </c>
      <c r="C12" s="9">
        <v>0</v>
      </c>
      <c r="D12" s="9">
        <v>0</v>
      </c>
      <c r="E12" s="9">
        <v>0</v>
      </c>
      <c r="F12" s="9">
        <v>0</v>
      </c>
      <c r="G12" s="9">
        <v>0</v>
      </c>
      <c r="H12" s="9">
        <v>0</v>
      </c>
      <c r="I12" s="9">
        <v>0</v>
      </c>
      <c r="J12" s="9">
        <v>0</v>
      </c>
      <c r="K12" s="9">
        <v>0</v>
      </c>
      <c r="L12" s="9">
        <v>500.02199999999999</v>
      </c>
      <c r="M12" s="9">
        <v>100</v>
      </c>
      <c r="N12" s="9">
        <v>0</v>
      </c>
      <c r="O12" s="9">
        <v>0</v>
      </c>
      <c r="P12" s="9">
        <v>0</v>
      </c>
      <c r="Q12" s="9">
        <v>0</v>
      </c>
      <c r="R12" s="9">
        <v>0</v>
      </c>
      <c r="S12" s="9">
        <v>400.101</v>
      </c>
      <c r="T12" s="9">
        <v>645.14599999999996</v>
      </c>
      <c r="U12" s="9">
        <v>2500.1</v>
      </c>
      <c r="V12" s="9">
        <v>2500</v>
      </c>
      <c r="W12" s="9">
        <v>2000</v>
      </c>
      <c r="X12" s="9">
        <v>1599.998</v>
      </c>
      <c r="Y12" s="9">
        <v>1700</v>
      </c>
      <c r="Z12" s="9">
        <v>963.74800000000005</v>
      </c>
      <c r="AA12" s="9">
        <v>3536.3960000000002</v>
      </c>
      <c r="AB12" s="9">
        <v>1654.327</v>
      </c>
      <c r="AC12" s="9">
        <v>1856.885</v>
      </c>
      <c r="AD12" s="9">
        <v>2079.5590000000002</v>
      </c>
      <c r="AE12" s="9">
        <v>1270.588</v>
      </c>
      <c r="AF12" s="9">
        <v>4714.4030000000002</v>
      </c>
    </row>
    <row r="14" spans="1:32" x14ac:dyDescent="0.3">
      <c r="A14" s="6" t="s">
        <v>178</v>
      </c>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row>
    <row r="15" spans="1:32" x14ac:dyDescent="0.3">
      <c r="A15" s="4" t="s">
        <v>179</v>
      </c>
      <c r="B15" s="8" t="s">
        <v>180</v>
      </c>
      <c r="C15" s="9">
        <v>2997.7460000000001</v>
      </c>
      <c r="D15" s="9">
        <v>3325.1030000000001</v>
      </c>
      <c r="E15" s="9">
        <v>3648.2919999999999</v>
      </c>
      <c r="F15" s="9">
        <v>3945.5419999999999</v>
      </c>
      <c r="G15" s="9">
        <v>3294.2750000000001</v>
      </c>
      <c r="H15" s="9">
        <v>2510.7820000000002</v>
      </c>
      <c r="I15" s="9">
        <v>2653.886</v>
      </c>
      <c r="J15" s="9">
        <v>3320.3409999999999</v>
      </c>
      <c r="K15" s="9">
        <v>3284.576</v>
      </c>
      <c r="L15" s="9">
        <v>4096.75</v>
      </c>
      <c r="M15" s="9">
        <v>4666.2370000000001</v>
      </c>
      <c r="N15" s="9">
        <v>5654.6390000000001</v>
      </c>
      <c r="O15" s="9">
        <v>3584.1640000000002</v>
      </c>
      <c r="P15" s="9">
        <v>4687.0110000000004</v>
      </c>
      <c r="Q15" s="9">
        <v>4582.6710000000003</v>
      </c>
      <c r="R15" s="9">
        <v>3985.192</v>
      </c>
      <c r="S15" s="9">
        <v>2458.6660000000002</v>
      </c>
      <c r="T15" s="9">
        <v>3683.0070000000001</v>
      </c>
      <c r="U15" s="9">
        <v>2883.8389999999999</v>
      </c>
      <c r="V15" s="9">
        <v>3529.1909999999998</v>
      </c>
      <c r="W15" s="9">
        <v>3728.9670000000001</v>
      </c>
      <c r="X15" s="9">
        <v>4048.8519999999999</v>
      </c>
      <c r="Y15" s="9">
        <v>4016.3960000000002</v>
      </c>
      <c r="Z15" s="9">
        <v>4429.402</v>
      </c>
      <c r="AA15" s="9">
        <v>3549.6570000000002</v>
      </c>
      <c r="AB15" s="9">
        <v>3835.8130000000001</v>
      </c>
      <c r="AC15" s="9">
        <v>4653.9350000000004</v>
      </c>
      <c r="AD15" s="9">
        <v>5057.2120000000004</v>
      </c>
      <c r="AE15" s="9">
        <v>4846.9170000000004</v>
      </c>
      <c r="AF15" s="9">
        <v>4927.5230000000001</v>
      </c>
    </row>
    <row r="16" spans="1:32" x14ac:dyDescent="0.3">
      <c r="A16" s="4" t="s">
        <v>181</v>
      </c>
      <c r="B16" s="8" t="s">
        <v>182</v>
      </c>
      <c r="C16" s="11">
        <f>DRE!C28</f>
        <v>2124.6860000000001</v>
      </c>
      <c r="D16" s="11">
        <f>DRE!D28</f>
        <v>2231.915</v>
      </c>
      <c r="E16" s="11">
        <f>DRE!E28</f>
        <v>2279.9769999999999</v>
      </c>
      <c r="F16" s="11">
        <f>DRE!F28</f>
        <v>2579.6689999999999</v>
      </c>
      <c r="G16" s="11">
        <f>DRE!G28</f>
        <v>2483.3850000000002</v>
      </c>
      <c r="H16" s="11">
        <f>DRE!H28</f>
        <v>2607.1590000000001</v>
      </c>
      <c r="I16" s="11">
        <f>DRE!I28</f>
        <v>2733.7429999999999</v>
      </c>
      <c r="J16" s="11">
        <f>DRE!J28</f>
        <v>2982.625</v>
      </c>
      <c r="K16" s="11">
        <f>DRE!K28</f>
        <v>2719.1959999999999</v>
      </c>
      <c r="L16" s="11">
        <f>DRE!L28</f>
        <v>2806.8029999999999</v>
      </c>
      <c r="M16" s="11">
        <f>DRE!M28</f>
        <v>2963.0509999999999</v>
      </c>
      <c r="N16" s="11">
        <f>DRE!N28</f>
        <v>3741.317</v>
      </c>
      <c r="O16" s="11">
        <f>DRE!O28</f>
        <v>3166.3649999999998</v>
      </c>
      <c r="P16" s="11">
        <f>DRE!P28</f>
        <v>3261.348</v>
      </c>
      <c r="Q16" s="11">
        <f>DRE!Q28</f>
        <v>3653.5920000000001</v>
      </c>
      <c r="R16" s="11">
        <f>DRE!R28</f>
        <v>3944.8270000000002</v>
      </c>
      <c r="S16" s="11">
        <f>DRE!S28</f>
        <v>3459.9839999999999</v>
      </c>
      <c r="T16" s="11">
        <f>DRE!T28</f>
        <v>3410.0210000000002</v>
      </c>
      <c r="U16" s="11">
        <f>DRE!U28</f>
        <v>3573.3530000000001</v>
      </c>
      <c r="V16" s="11">
        <f>DRE!V28</f>
        <v>3754.0790000000002</v>
      </c>
      <c r="W16" s="11">
        <f>DRE!W28</f>
        <v>3670.8049999999998</v>
      </c>
      <c r="X16" s="11">
        <f>DRE!X28</f>
        <v>3769.69</v>
      </c>
      <c r="Y16" s="11">
        <f>DRE!Y28</f>
        <v>3699.5210000000002</v>
      </c>
      <c r="Z16" s="11">
        <f>DRE!Z28</f>
        <v>4161.5010000000002</v>
      </c>
      <c r="AA16" s="11">
        <f>DRE!AA28</f>
        <v>3823.1120000000001</v>
      </c>
      <c r="AB16" s="11">
        <f>DRE!AB28</f>
        <v>3832.0740000000001</v>
      </c>
      <c r="AC16" s="11">
        <f>DRE!AC28</f>
        <v>4002.7440000000001</v>
      </c>
      <c r="AD16" s="11">
        <f>DRE!AD28</f>
        <v>4764.2359999999999</v>
      </c>
      <c r="AE16" s="11">
        <f>DRE!AE28</f>
        <v>4217.8999999999996</v>
      </c>
      <c r="AF16" s="11">
        <f>DRE!AF28</f>
        <v>4311.3090000000002</v>
      </c>
    </row>
    <row r="17" spans="1:32" x14ac:dyDescent="0.3">
      <c r="A17" s="3" t="s">
        <v>183</v>
      </c>
      <c r="B17" s="8" t="s">
        <v>184</v>
      </c>
      <c r="C17" s="13">
        <f t="shared" ref="C17:AF17" si="1">IFERROR(C15/C16,"")</f>
        <v>1.4109124830680861</v>
      </c>
      <c r="D17" s="13">
        <f t="shared" si="1"/>
        <v>1.4897982226025632</v>
      </c>
      <c r="E17" s="13">
        <f t="shared" si="1"/>
        <v>1.6001442119810858</v>
      </c>
      <c r="F17" s="13">
        <f t="shared" si="1"/>
        <v>1.5294760684413389</v>
      </c>
      <c r="G17" s="13">
        <f t="shared" si="1"/>
        <v>1.3265260924101578</v>
      </c>
      <c r="H17" s="13">
        <f t="shared" si="1"/>
        <v>0.96303370833923063</v>
      </c>
      <c r="I17" s="13">
        <f t="shared" si="1"/>
        <v>0.9707884025674689</v>
      </c>
      <c r="J17" s="13">
        <f t="shared" si="1"/>
        <v>1.1132277775449477</v>
      </c>
      <c r="K17" s="13">
        <f t="shared" si="1"/>
        <v>1.2079217533417967</v>
      </c>
      <c r="L17" s="13">
        <f t="shared" si="1"/>
        <v>1.4595787449279483</v>
      </c>
      <c r="M17" s="13">
        <f t="shared" si="1"/>
        <v>1.5748081960114761</v>
      </c>
      <c r="N17" s="13">
        <f t="shared" si="1"/>
        <v>1.5114033373809277</v>
      </c>
      <c r="O17" s="13">
        <f t="shared" si="1"/>
        <v>1.1319490962033754</v>
      </c>
      <c r="P17" s="13">
        <f t="shared" si="1"/>
        <v>1.4371391829390794</v>
      </c>
      <c r="Q17" s="13">
        <f t="shared" si="1"/>
        <v>1.2542919406436186</v>
      </c>
      <c r="R17" s="13">
        <f t="shared" si="1"/>
        <v>1.0102323878841835</v>
      </c>
      <c r="S17" s="13">
        <f t="shared" si="1"/>
        <v>0.7106003958399808</v>
      </c>
      <c r="T17" s="13">
        <f t="shared" si="1"/>
        <v>1.0800540524530493</v>
      </c>
      <c r="U17" s="13">
        <f t="shared" si="1"/>
        <v>0.80704005453701322</v>
      </c>
      <c r="V17" s="13">
        <f t="shared" si="1"/>
        <v>0.94009502730230232</v>
      </c>
      <c r="W17" s="13">
        <f t="shared" si="1"/>
        <v>1.015844480978968</v>
      </c>
      <c r="X17" s="13">
        <f t="shared" si="1"/>
        <v>1.0740543652130545</v>
      </c>
      <c r="Y17" s="13">
        <f t="shared" si="1"/>
        <v>1.085652980480446</v>
      </c>
      <c r="Z17" s="13">
        <f t="shared" si="1"/>
        <v>1.0643760508528053</v>
      </c>
      <c r="AA17" s="13">
        <f t="shared" si="1"/>
        <v>0.92847319147333374</v>
      </c>
      <c r="AB17" s="13">
        <f t="shared" si="1"/>
        <v>1.0009757118469007</v>
      </c>
      <c r="AC17" s="13">
        <f t="shared" si="1"/>
        <v>1.1626861473029502</v>
      </c>
      <c r="AD17" s="13">
        <f t="shared" si="1"/>
        <v>1.0614948545789924</v>
      </c>
      <c r="AE17" s="13">
        <f t="shared" si="1"/>
        <v>1.1491303729343989</v>
      </c>
      <c r="AF17" s="13">
        <f t="shared" si="1"/>
        <v>1.1429296763465573</v>
      </c>
    </row>
    <row r="18" spans="1:32" x14ac:dyDescent="0.3">
      <c r="A18" s="4" t="s">
        <v>185</v>
      </c>
      <c r="B18" s="8" t="s">
        <v>186</v>
      </c>
      <c r="C18" s="9">
        <v>101.2</v>
      </c>
      <c r="D18" s="9">
        <v>103.848</v>
      </c>
      <c r="E18" s="9">
        <v>100.262</v>
      </c>
      <c r="F18" s="9">
        <v>100.066</v>
      </c>
      <c r="G18" s="9">
        <v>97.019000000000005</v>
      </c>
      <c r="H18" s="9">
        <v>104.21</v>
      </c>
      <c r="I18" s="9">
        <v>106.357</v>
      </c>
      <c r="J18" s="9">
        <v>107.59399999999999</v>
      </c>
      <c r="K18" s="9">
        <v>107.23</v>
      </c>
      <c r="L18" s="9">
        <v>101.583</v>
      </c>
      <c r="M18" s="9">
        <v>95.078000000000003</v>
      </c>
      <c r="N18" s="9">
        <v>99.328999999999994</v>
      </c>
      <c r="O18" s="9">
        <v>119.209</v>
      </c>
      <c r="P18" s="9">
        <v>150.392</v>
      </c>
      <c r="Q18" s="9">
        <v>152.06200000000001</v>
      </c>
      <c r="R18" s="9">
        <v>153.78899999999999</v>
      </c>
      <c r="S18" s="9">
        <v>99.099000000000004</v>
      </c>
      <c r="T18" s="9">
        <v>78.03</v>
      </c>
      <c r="U18" s="9">
        <v>79.72</v>
      </c>
      <c r="V18" s="9">
        <v>82.519000000000005</v>
      </c>
      <c r="W18" s="9">
        <v>76.344999999999999</v>
      </c>
      <c r="X18" s="9">
        <v>68.766000000000005</v>
      </c>
      <c r="Y18" s="9">
        <v>65.650000000000006</v>
      </c>
      <c r="Z18" s="9">
        <v>61.826999999999998</v>
      </c>
      <c r="AA18" s="9">
        <v>71.977000000000004</v>
      </c>
      <c r="AB18" s="9">
        <v>80.861999999999995</v>
      </c>
      <c r="AC18" s="9">
        <v>80.986000000000004</v>
      </c>
      <c r="AD18" s="9">
        <v>134.624</v>
      </c>
      <c r="AE18" s="9">
        <v>140.405</v>
      </c>
      <c r="AF18" s="9">
        <v>131.31200000000001</v>
      </c>
    </row>
    <row r="20" spans="1:32" x14ac:dyDescent="0.3">
      <c r="A20" s="8" t="s">
        <v>187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2"/>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188</v>
      </c>
    </row>
    <row r="2" spans="1:32" x14ac:dyDescent="0.3">
      <c r="A2" s="2" t="s">
        <v>189</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190</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4" t="s">
        <v>191</v>
      </c>
      <c r="B7" s="8"/>
      <c r="C7" s="14">
        <f>IFERROR(DRE!C7/DRE!C7,"")</f>
        <v>1</v>
      </c>
      <c r="D7" s="14">
        <f>IFERROR(DRE!D7/DRE!D7,"")</f>
        <v>1</v>
      </c>
      <c r="E7" s="14">
        <f>IFERROR(DRE!E7/DRE!E7,"")</f>
        <v>1</v>
      </c>
      <c r="F7" s="14">
        <f>IFERROR(DRE!F7/DRE!F7,"")</f>
        <v>1</v>
      </c>
      <c r="G7" s="14">
        <f>IFERROR(DRE!G7/DRE!G7,"")</f>
        <v>1</v>
      </c>
      <c r="H7" s="14">
        <f>IFERROR(DRE!H7/DRE!H7,"")</f>
        <v>1</v>
      </c>
      <c r="I7" s="14">
        <f>IFERROR(DRE!I7/DRE!I7,"")</f>
        <v>1</v>
      </c>
      <c r="J7" s="14">
        <f>IFERROR(DRE!J7/DRE!J7,"")</f>
        <v>1</v>
      </c>
      <c r="K7" s="14">
        <f>IFERROR(DRE!K7/DRE!K7,"")</f>
        <v>1</v>
      </c>
      <c r="L7" s="14">
        <f>IFERROR(DRE!L7/DRE!L7,"")</f>
        <v>1</v>
      </c>
      <c r="M7" s="14">
        <f>IFERROR(DRE!M7/DRE!M7,"")</f>
        <v>1</v>
      </c>
      <c r="N7" s="14">
        <f>IFERROR(DRE!N7/DRE!N7,"")</f>
        <v>1</v>
      </c>
      <c r="O7" s="14">
        <f>IFERROR(DRE!O7/DRE!O7,"")</f>
        <v>1</v>
      </c>
      <c r="P7" s="14">
        <f>IFERROR(DRE!P7/DRE!P7,"")</f>
        <v>1</v>
      </c>
      <c r="Q7" s="14">
        <f>IFERROR(DRE!Q7/DRE!Q7,"")</f>
        <v>1</v>
      </c>
      <c r="R7" s="14">
        <f>IFERROR(DRE!R7/DRE!R7,"")</f>
        <v>1</v>
      </c>
      <c r="S7" s="14">
        <f>IFERROR(DRE!S7/DRE!S7,"")</f>
        <v>1</v>
      </c>
      <c r="T7" s="14">
        <f>IFERROR(DRE!T7/DRE!T7,"")</f>
        <v>1</v>
      </c>
      <c r="U7" s="14">
        <f>IFERROR(DRE!U7/DRE!U7,"")</f>
        <v>1</v>
      </c>
      <c r="V7" s="14">
        <f>IFERROR(DRE!V7/DRE!V7,"")</f>
        <v>1</v>
      </c>
      <c r="W7" s="14">
        <f>IFERROR(DRE!W7/DRE!W7,"")</f>
        <v>1</v>
      </c>
      <c r="X7" s="14">
        <f>IFERROR(DRE!X7/DRE!X7,"")</f>
        <v>1</v>
      </c>
      <c r="Y7" s="14">
        <f>IFERROR(DRE!Y7/DRE!Y7,"")</f>
        <v>1</v>
      </c>
      <c r="Z7" s="14">
        <f>IFERROR(DRE!Z7/DRE!Z7,"")</f>
        <v>1</v>
      </c>
      <c r="AA7" s="14">
        <f>IFERROR(DRE!AA7/DRE!AA7,"")</f>
        <v>1</v>
      </c>
      <c r="AB7" s="14">
        <f>IFERROR(DRE!AB7/DRE!AB7,"")</f>
        <v>1</v>
      </c>
      <c r="AC7" s="14">
        <f>IFERROR(DRE!AC7/DRE!AC7,"")</f>
        <v>1</v>
      </c>
      <c r="AD7" s="14">
        <f>IFERROR(DRE!AD7/DRE!AD7,"")</f>
        <v>1</v>
      </c>
      <c r="AE7" s="14">
        <f>IFERROR(DRE!AE7/DRE!AE7,"")</f>
        <v>1</v>
      </c>
      <c r="AF7" s="14">
        <f>IFERROR(DRE!AF7/DRE!AF7,"")</f>
        <v>1</v>
      </c>
    </row>
    <row r="8" spans="1:32" x14ac:dyDescent="0.3">
      <c r="A8" s="4" t="s">
        <v>192</v>
      </c>
      <c r="B8" s="8"/>
      <c r="C8" s="14">
        <f>IFERROR(DRE!C8/DRE!C7,"")</f>
        <v>0.63495224057021116</v>
      </c>
      <c r="D8" s="14">
        <f>IFERROR(DRE!D8/DRE!D7,"")</f>
        <v>0.61051923212859505</v>
      </c>
      <c r="E8" s="14">
        <f>IFERROR(DRE!E8/DRE!E7,"")</f>
        <v>0.59065302422064847</v>
      </c>
      <c r="F8" s="14">
        <f>IFERROR(DRE!F8/DRE!F7,"")</f>
        <v>0.63393961408587651</v>
      </c>
      <c r="G8" s="14">
        <f>IFERROR(DRE!G8/DRE!G7,"")</f>
        <v>0.62411474539811518</v>
      </c>
      <c r="H8" s="14">
        <f>IFERROR(DRE!H8/DRE!H7,"")</f>
        <v>0.592637850613976</v>
      </c>
      <c r="I8" s="14">
        <f>IFERROR(DRE!I8/DRE!I7,"")</f>
        <v>0.60098961454786848</v>
      </c>
      <c r="J8" s="14">
        <f>IFERROR(DRE!J8/DRE!J7,"")</f>
        <v>0.62686377576928198</v>
      </c>
      <c r="K8" s="14">
        <f>IFERROR(DRE!K8/DRE!K7,"")</f>
        <v>0.54004728558780735</v>
      </c>
      <c r="L8" s="14">
        <f>IFERROR(DRE!L8/DRE!L7,"")</f>
        <v>0.54728003860645724</v>
      </c>
      <c r="M8" s="14">
        <f>IFERROR(DRE!M8/DRE!M7,"")</f>
        <v>0.56211766551519504</v>
      </c>
      <c r="N8" s="14">
        <f>IFERROR(DRE!N8/DRE!N7,"")</f>
        <v>0.67964183083380392</v>
      </c>
      <c r="O8" s="14">
        <f>IFERROR(DRE!O8/DRE!O7,"")</f>
        <v>0.54458971649770516</v>
      </c>
      <c r="P8" s="14">
        <f>IFERROR(DRE!P8/DRE!P7,"")</f>
        <v>0.58854103082994391</v>
      </c>
      <c r="Q8" s="14">
        <f>IFERROR(DRE!Q8/DRE!Q7,"")</f>
        <v>0.60420304408921532</v>
      </c>
      <c r="R8" s="14">
        <f>IFERROR(DRE!R8/DRE!R7,"")</f>
        <v>0.68824802889129755</v>
      </c>
      <c r="S8" s="14">
        <f>IFERROR(DRE!S8/DRE!S7,"")</f>
        <v>0.58857112470582928</v>
      </c>
      <c r="T8" s="14">
        <f>IFERROR(DRE!T8/DRE!T7,"")</f>
        <v>0.57081937014408046</v>
      </c>
      <c r="U8" s="14">
        <f>IFERROR(DRE!U8/DRE!U7,"")</f>
        <v>0.57726289525652363</v>
      </c>
      <c r="V8" s="14">
        <f>IFERROR(DRE!V8/DRE!V7,"")</f>
        <v>0.60088193754546249</v>
      </c>
      <c r="W8" s="14">
        <f>IFERROR(DRE!W8/DRE!W7,"")</f>
        <v>0.53114613614728867</v>
      </c>
      <c r="X8" s="14">
        <f>IFERROR(DRE!X8/DRE!X7,"")</f>
        <v>0.54126741365224063</v>
      </c>
      <c r="Y8" s="14">
        <f>IFERROR(DRE!Y8/DRE!Y7,"")</f>
        <v>0.52112353930698974</v>
      </c>
      <c r="Z8" s="14">
        <f>IFERROR(DRE!Z8/DRE!Z7,"")</f>
        <v>0.56286114115114083</v>
      </c>
      <c r="AA8" s="14">
        <f>IFERROR(DRE!AA8/DRE!AA7,"")</f>
        <v>0.49921714352760715</v>
      </c>
      <c r="AB8" s="14">
        <f>IFERROR(DRE!AB8/DRE!AB7,"")</f>
        <v>0.48065991609837783</v>
      </c>
      <c r="AC8" s="14">
        <f>IFERROR(DRE!AC8/DRE!AC7,"")</f>
        <v>0.5355417540122952</v>
      </c>
      <c r="AD8" s="14">
        <f>IFERROR(DRE!AD8/DRE!AD7,"")</f>
        <v>0.5412621210177414</v>
      </c>
      <c r="AE8" s="14">
        <f>IFERROR(DRE!AE8/DRE!AE7,"")</f>
        <v>0.48068202495771961</v>
      </c>
      <c r="AF8" s="14">
        <f>IFERROR(DRE!AF8/DRE!AF7,"")</f>
        <v>0.48065245226528985</v>
      </c>
    </row>
    <row r="9" spans="1:32" x14ac:dyDescent="0.3">
      <c r="A9" s="3" t="s">
        <v>193</v>
      </c>
      <c r="B9" s="8"/>
      <c r="C9" s="15">
        <f>IFERROR(DRE!C9/DRE!C7,"")</f>
        <v>0.3650477594297889</v>
      </c>
      <c r="D9" s="15">
        <f>IFERROR(DRE!D9/DRE!D7,"")</f>
        <v>0.38948076787140501</v>
      </c>
      <c r="E9" s="15">
        <f>IFERROR(DRE!E9/DRE!E7,"")</f>
        <v>0.40934697577935159</v>
      </c>
      <c r="F9" s="15">
        <f>IFERROR(DRE!F9/DRE!F7,"")</f>
        <v>0.36606038591412354</v>
      </c>
      <c r="G9" s="15">
        <f>IFERROR(DRE!G9/DRE!G7,"")</f>
        <v>0.37588525460188488</v>
      </c>
      <c r="H9" s="15">
        <f>IFERROR(DRE!H9/DRE!H7,"")</f>
        <v>0.40736214938602405</v>
      </c>
      <c r="I9" s="15">
        <f>IFERROR(DRE!I9/DRE!I7,"")</f>
        <v>0.39901038545213158</v>
      </c>
      <c r="J9" s="15">
        <f>IFERROR(DRE!J9/DRE!J7,"")</f>
        <v>0.37313622423071796</v>
      </c>
      <c r="K9" s="15">
        <f>IFERROR(DRE!K9/DRE!K7,"")</f>
        <v>0.45995271441219265</v>
      </c>
      <c r="L9" s="15">
        <f>IFERROR(DRE!L9/DRE!L7,"")</f>
        <v>0.45271996139354276</v>
      </c>
      <c r="M9" s="15">
        <f>IFERROR(DRE!M9/DRE!M7,"")</f>
        <v>0.43788233448480496</v>
      </c>
      <c r="N9" s="15">
        <f>IFERROR(DRE!N9/DRE!N7,"")</f>
        <v>0.32035816916619608</v>
      </c>
      <c r="O9" s="15">
        <f>IFERROR(DRE!O9/DRE!O7,"")</f>
        <v>0.45541028350229484</v>
      </c>
      <c r="P9" s="15">
        <f>IFERROR(DRE!P9/DRE!P7,"")</f>
        <v>0.41145896917005603</v>
      </c>
      <c r="Q9" s="15">
        <f>IFERROR(DRE!Q9/DRE!Q7,"")</f>
        <v>0.39579695591078468</v>
      </c>
      <c r="R9" s="15">
        <f>IFERROR(DRE!R9/DRE!R7,"")</f>
        <v>0.3117519711087024</v>
      </c>
      <c r="S9" s="15">
        <f>IFERROR(DRE!S9/DRE!S7,"")</f>
        <v>0.41142887529417066</v>
      </c>
      <c r="T9" s="15">
        <f>IFERROR(DRE!T9/DRE!T7,"")</f>
        <v>0.42918062985591954</v>
      </c>
      <c r="U9" s="15">
        <f>IFERROR(DRE!U9/DRE!U7,"")</f>
        <v>0.42273710474347637</v>
      </c>
      <c r="V9" s="15">
        <f>IFERROR(DRE!V9/DRE!V7,"")</f>
        <v>0.39911806245453757</v>
      </c>
      <c r="W9" s="15">
        <f>IFERROR(DRE!W9/DRE!W7,"")</f>
        <v>0.46885386385271127</v>
      </c>
      <c r="X9" s="15">
        <f>IFERROR(DRE!X9/DRE!X7,"")</f>
        <v>0.45873258634775937</v>
      </c>
      <c r="Y9" s="15">
        <f>IFERROR(DRE!Y9/DRE!Y7,"")</f>
        <v>0.47887646069301021</v>
      </c>
      <c r="Z9" s="15">
        <f>IFERROR(DRE!Z9/DRE!Z7,"")</f>
        <v>0.43713885884885922</v>
      </c>
      <c r="AA9" s="15">
        <f>IFERROR(DRE!AA9/DRE!AA7,"")</f>
        <v>0.50078285647239285</v>
      </c>
      <c r="AB9" s="15">
        <f>IFERROR(DRE!AB9/DRE!AB7,"")</f>
        <v>0.51934008390162223</v>
      </c>
      <c r="AC9" s="15">
        <f>IFERROR(DRE!AC9/DRE!AC7,"")</f>
        <v>0.4644582459877048</v>
      </c>
      <c r="AD9" s="15">
        <f>IFERROR(DRE!AD9/DRE!AD7,"")</f>
        <v>0.4587378789822586</v>
      </c>
      <c r="AE9" s="15">
        <f>IFERROR(DRE!AE9/DRE!AE7,"")</f>
        <v>0.51931797504228039</v>
      </c>
      <c r="AF9" s="15">
        <f>IFERROR(DRE!AF9/DRE!AF7,"")</f>
        <v>0.51934754773471015</v>
      </c>
    </row>
    <row r="10" spans="1:32" x14ac:dyDescent="0.3">
      <c r="A10" s="4" t="s">
        <v>194</v>
      </c>
      <c r="B10" s="8"/>
      <c r="C10" s="14">
        <f>IFERROR(DRE!C10/DRE!C7,"")</f>
        <v>0.13638113051294937</v>
      </c>
      <c r="D10" s="14">
        <f>IFERROR(DRE!D10/DRE!D7,"")</f>
        <v>0.12251387129614658</v>
      </c>
      <c r="E10" s="14">
        <f>IFERROR(DRE!E10/DRE!E7,"")</f>
        <v>0.10558761312168667</v>
      </c>
      <c r="F10" s="14">
        <f>IFERROR(DRE!F10/DRE!F7,"")</f>
        <v>0.16075859351937308</v>
      </c>
      <c r="G10" s="14">
        <f>IFERROR(DRE!G10/DRE!G7,"")</f>
        <v>8.7353847492870201E-2</v>
      </c>
      <c r="H10" s="14">
        <f>IFERROR(DRE!H10/DRE!H7,"")</f>
        <v>7.0648958099867182E-2</v>
      </c>
      <c r="I10" s="14">
        <f>IFERROR(DRE!I10/DRE!I7,"")</f>
        <v>8.1980540543228272E-2</v>
      </c>
      <c r="J10" s="14">
        <f>IFERROR(DRE!J10/DRE!J7,"")</f>
        <v>0.11476734991440968</v>
      </c>
      <c r="K10" s="14">
        <f>IFERROR(DRE!K10/DRE!K7,"")</f>
        <v>7.1547092519881242E-2</v>
      </c>
      <c r="L10" s="14">
        <f>IFERROR(DRE!L10/DRE!L7,"")</f>
        <v>8.2265233607612967E-2</v>
      </c>
      <c r="M10" s="14">
        <f>IFERROR(DRE!M10/DRE!M7,"")</f>
        <v>8.4980397454816059E-2</v>
      </c>
      <c r="N10" s="14">
        <f>IFERROR(DRE!N10/DRE!N7,"")</f>
        <v>0.10282530828278194</v>
      </c>
      <c r="O10" s="14">
        <f>IFERROR(DRE!O10/DRE!O7,"")</f>
        <v>7.0665285334453848E-2</v>
      </c>
      <c r="P10" s="14">
        <f>IFERROR(DRE!P10/DRE!P7,"")</f>
        <v>7.2139250735965652E-2</v>
      </c>
      <c r="Q10" s="14">
        <f>IFERROR(DRE!Q10/DRE!Q7,"")</f>
        <v>7.1660793917019919E-2</v>
      </c>
      <c r="R10" s="14">
        <f>IFERROR(DRE!R10/DRE!R7,"")</f>
        <v>0.10590988114828059</v>
      </c>
      <c r="S10" s="14">
        <f>IFERROR(DRE!S10/DRE!S7,"")</f>
        <v>6.8046535056104251E-2</v>
      </c>
      <c r="T10" s="14">
        <f>IFERROR(DRE!T10/DRE!T7,"")</f>
        <v>7.6602533606618339E-2</v>
      </c>
      <c r="U10" s="14">
        <f>IFERROR(DRE!U10/DRE!U7,"")</f>
        <v>6.5412984911143821E-2</v>
      </c>
      <c r="V10" s="14">
        <f>IFERROR(DRE!V10/DRE!V7,"")</f>
        <v>0.10377393416036204</v>
      </c>
      <c r="W10" s="14">
        <f>IFERROR(DRE!W10/DRE!W7,"")</f>
        <v>6.9830232091556005E-2</v>
      </c>
      <c r="X10" s="14">
        <f>IFERROR(DRE!X10/DRE!X7,"")</f>
        <v>6.7377666379686396E-2</v>
      </c>
      <c r="Y10" s="14">
        <f>IFERROR(DRE!Y10/DRE!Y7,"")</f>
        <v>6.5439738992618915E-2</v>
      </c>
      <c r="Z10" s="14">
        <f>IFERROR(DRE!Z10/DRE!Z7,"")</f>
        <v>9.5271825644489966E-2</v>
      </c>
      <c r="AA10" s="14">
        <f>IFERROR(DRE!AA10/DRE!AA7,"")</f>
        <v>6.5292895123411701E-2</v>
      </c>
      <c r="AB10" s="14">
        <f>IFERROR(DRE!AB10/DRE!AB7,"")</f>
        <v>6.4378943324795393E-2</v>
      </c>
      <c r="AC10" s="14">
        <f>IFERROR(DRE!AC10/DRE!AC7,"")</f>
        <v>6.8312252661896847E-2</v>
      </c>
      <c r="AD10" s="14">
        <f>IFERROR(DRE!AD10/DRE!AD7,"")</f>
        <v>9.2390506094137445E-2</v>
      </c>
      <c r="AE10" s="14">
        <f>IFERROR(DRE!AE10/DRE!AE7,"")</f>
        <v>6.8753772013599945E-2</v>
      </c>
      <c r="AF10" s="14">
        <f>IFERROR(DRE!AF10/DRE!AF7,"")</f>
        <v>6.5592521236967891E-2</v>
      </c>
    </row>
    <row r="11" spans="1:32" x14ac:dyDescent="0.3">
      <c r="A11" s="4" t="s">
        <v>195</v>
      </c>
      <c r="B11" s="8"/>
      <c r="C11" s="14">
        <f>IFERROR(DRE!C11/DRE!C7,"")</f>
        <v>8.2451815884655402E-2</v>
      </c>
      <c r="D11" s="14">
        <f>IFERROR(DRE!D11/DRE!D7,"")</f>
        <v>7.784358524154214E-2</v>
      </c>
      <c r="E11" s="14">
        <f>IFERROR(DRE!E11/DRE!E7,"")</f>
        <v>7.240855649435024E-2</v>
      </c>
      <c r="F11" s="14">
        <f>IFERROR(DRE!F11/DRE!F7,"")</f>
        <v>7.4875343716997764E-2</v>
      </c>
      <c r="G11" s="14">
        <f>IFERROR(DRE!G11/DRE!G7,"")</f>
        <v>7.8682613198245197E-2</v>
      </c>
      <c r="H11" s="14">
        <f>IFERROR(DRE!H11/DRE!H7,"")</f>
        <v>7.0758744794890804E-2</v>
      </c>
      <c r="I11" s="14">
        <f>IFERROR(DRE!I11/DRE!I7,"")</f>
        <v>7.0513921154968809E-2</v>
      </c>
      <c r="J11" s="14">
        <f>IFERROR(DRE!J11/DRE!J7,"")</f>
        <v>7.3284709235177312E-2</v>
      </c>
      <c r="K11" s="14">
        <f>IFERROR(DRE!K11/DRE!K7,"")</f>
        <v>7.3319324856958024E-2</v>
      </c>
      <c r="L11" s="14">
        <f>IFERROR(DRE!L11/DRE!L7,"")</f>
        <v>7.3186777533558983E-2</v>
      </c>
      <c r="M11" s="14">
        <f>IFERROR(DRE!M11/DRE!M7,"")</f>
        <v>7.5351037159648054E-2</v>
      </c>
      <c r="N11" s="14">
        <f>IFERROR(DRE!N11/DRE!N7,"")</f>
        <v>8.3985379770298754E-2</v>
      </c>
      <c r="O11" s="14">
        <f>IFERROR(DRE!O11/DRE!O7,"")</f>
        <v>8.3572632488989565E-2</v>
      </c>
      <c r="P11" s="14">
        <f>IFERROR(DRE!P11/DRE!P7,"")</f>
        <v>8.9941445201534076E-2</v>
      </c>
      <c r="Q11" s="14">
        <f>IFERROR(DRE!Q11/DRE!Q7,"")</f>
        <v>8.3620157441926399E-2</v>
      </c>
      <c r="R11" s="14">
        <f>IFERROR(DRE!R11/DRE!R7,"")</f>
        <v>8.582799937799708E-2</v>
      </c>
      <c r="S11" s="14">
        <f>IFERROR(DRE!S11/DRE!S7,"")</f>
        <v>8.4209366828634377E-2</v>
      </c>
      <c r="T11" s="14">
        <f>IFERROR(DRE!T11/DRE!T7,"")</f>
        <v>8.0366289208128536E-2</v>
      </c>
      <c r="U11" s="14">
        <f>IFERROR(DRE!U11/DRE!U7,"")</f>
        <v>7.6935675795406708E-2</v>
      </c>
      <c r="V11" s="14">
        <f>IFERROR(DRE!V11/DRE!V7,"")</f>
        <v>7.623166993572271E-2</v>
      </c>
      <c r="W11" s="14">
        <f>IFERROR(DRE!W11/DRE!W7,"")</f>
        <v>7.4966917241879774E-2</v>
      </c>
      <c r="X11" s="14">
        <f>IFERROR(DRE!X11/DRE!X7,"")</f>
        <v>7.4404324161471913E-2</v>
      </c>
      <c r="Y11" s="14">
        <f>IFERROR(DRE!Y11/DRE!Y7,"")</f>
        <v>7.4817834187964768E-2</v>
      </c>
      <c r="Z11" s="14">
        <f>IFERROR(DRE!Z11/DRE!Z7,"")</f>
        <v>7.5782366157150241E-2</v>
      </c>
      <c r="AA11" s="14">
        <f>IFERROR(DRE!AA11/DRE!AA7,"")</f>
        <v>7.8045957616007355E-2</v>
      </c>
      <c r="AB11" s="14">
        <f>IFERROR(DRE!AB11/DRE!AB7,"")</f>
        <v>7.4435476460953831E-2</v>
      </c>
      <c r="AC11" s="14">
        <f>IFERROR(DRE!AC11/DRE!AC7,"")</f>
        <v>7.4158230531991887E-2</v>
      </c>
      <c r="AD11" s="14">
        <f>IFERROR(DRE!AD11/DRE!AD7,"")</f>
        <v>7.3879145567724264E-2</v>
      </c>
      <c r="AE11" s="14">
        <f>IFERROR(DRE!AE11/DRE!AE7,"")</f>
        <v>7.8344084703067987E-2</v>
      </c>
      <c r="AF11" s="14">
        <f>IFERROR(DRE!AF11/DRE!AF7,"")</f>
        <v>8.0229297310225572E-2</v>
      </c>
    </row>
    <row r="12" spans="1:32" x14ac:dyDescent="0.3">
      <c r="A12" s="4" t="s">
        <v>196</v>
      </c>
      <c r="B12" s="8"/>
      <c r="C12" s="14">
        <f>IFERROR(DRE!C12/DRE!C7,"")</f>
        <v>4.4669842370877892E-2</v>
      </c>
      <c r="D12" s="14">
        <f>IFERROR(DRE!D12/DRE!D7,"")</f>
        <v>4.5633090912340885E-2</v>
      </c>
      <c r="E12" s="14">
        <f>IFERROR(DRE!E12/DRE!E7,"")</f>
        <v>4.4457239930942506E-2</v>
      </c>
      <c r="F12" s="14">
        <f>IFERROR(DRE!F12/DRE!F7,"")</f>
        <v>4.6564073750135805E-2</v>
      </c>
      <c r="G12" s="14">
        <f>IFERROR(DRE!G12/DRE!G7,"")</f>
        <v>4.3706745038872577E-2</v>
      </c>
      <c r="H12" s="14">
        <f>IFERROR(DRE!H12/DRE!H7,"")</f>
        <v>4.5091591380101707E-2</v>
      </c>
      <c r="I12" s="14">
        <f>IFERROR(DRE!I12/DRE!I7,"")</f>
        <v>4.2206233819589274E-2</v>
      </c>
      <c r="J12" s="14">
        <f>IFERROR(DRE!J12/DRE!J7,"")</f>
        <v>4.1469095523747515E-2</v>
      </c>
      <c r="K12" s="14">
        <f>IFERROR(DRE!K12/DRE!K7,"")</f>
        <v>4.1488803595893617E-2</v>
      </c>
      <c r="L12" s="14">
        <f>IFERROR(DRE!L12/DRE!L7,"")</f>
        <v>4.5608168158744133E-2</v>
      </c>
      <c r="M12" s="14">
        <f>IFERROR(DRE!M12/DRE!M7,"")</f>
        <v>4.300012280404257E-2</v>
      </c>
      <c r="N12" s="14">
        <f>IFERROR(DRE!N12/DRE!N7,"")</f>
        <v>5.1598597956395105E-2</v>
      </c>
      <c r="O12" s="14">
        <f>IFERROR(DRE!O12/DRE!O7,"")</f>
        <v>5.0576993446806447E-2</v>
      </c>
      <c r="P12" s="14">
        <f>IFERROR(DRE!P12/DRE!P7,"")</f>
        <v>5.1353796626684524E-2</v>
      </c>
      <c r="Q12" s="14">
        <f>IFERROR(DRE!Q12/DRE!Q7,"")</f>
        <v>4.7089623244404931E-2</v>
      </c>
      <c r="R12" s="14">
        <f>IFERROR(DRE!R12/DRE!R7,"")</f>
        <v>4.9980941290131378E-2</v>
      </c>
      <c r="S12" s="14">
        <f>IFERROR(DRE!S12/DRE!S7,"")</f>
        <v>4.9123794967667105E-2</v>
      </c>
      <c r="T12" s="14">
        <f>IFERROR(DRE!T12/DRE!T7,"")</f>
        <v>4.9038993436298479E-2</v>
      </c>
      <c r="U12" s="14">
        <f>IFERROR(DRE!U12/DRE!U7,"")</f>
        <v>5.6030157107487676E-2</v>
      </c>
      <c r="V12" s="14">
        <f>IFERROR(DRE!V12/DRE!V7,"")</f>
        <v>4.9731880796913784E-2</v>
      </c>
      <c r="W12" s="14">
        <f>IFERROR(DRE!W12/DRE!W7,"")</f>
        <v>4.3116438502354207E-2</v>
      </c>
      <c r="X12" s="14">
        <f>IFERROR(DRE!X12/DRE!X7,"")</f>
        <v>4.4667659067443154E-2</v>
      </c>
      <c r="Y12" s="14">
        <f>IFERROR(DRE!Y12/DRE!Y7,"")</f>
        <v>4.247996097184821E-2</v>
      </c>
      <c r="Z12" s="14">
        <f>IFERROR(DRE!Z12/DRE!Z7,"")</f>
        <v>4.4275940507761027E-2</v>
      </c>
      <c r="AA12" s="14">
        <f>IFERROR(DRE!AA12/DRE!AA7,"")</f>
        <v>3.9976283342538665E-2</v>
      </c>
      <c r="AB12" s="14">
        <f>IFERROR(DRE!AB12/DRE!AB7,"")</f>
        <v>3.9823665427524059E-2</v>
      </c>
      <c r="AC12" s="14">
        <f>IFERROR(DRE!AC12/DRE!AC7,"")</f>
        <v>3.9784429728937719E-2</v>
      </c>
      <c r="AD12" s="14">
        <f>IFERROR(DRE!AD12/DRE!AD7,"")</f>
        <v>4.7117518377676033E-2</v>
      </c>
      <c r="AE12" s="14">
        <f>IFERROR(DRE!AE12/DRE!AE7,"")</f>
        <v>4.9193547267917234E-2</v>
      </c>
      <c r="AF12" s="14">
        <f>IFERROR(DRE!AF12/DRE!AF7,"")</f>
        <v>3.9717552745881388E-2</v>
      </c>
    </row>
    <row r="13" spans="1:32" x14ac:dyDescent="0.3">
      <c r="A13" s="3" t="s">
        <v>197</v>
      </c>
      <c r="B13" s="8"/>
      <c r="C13" s="15">
        <f>IFERROR(DRE!C14/DRE!C7,"")</f>
        <v>0.10154497066130624</v>
      </c>
      <c r="D13" s="15">
        <f>IFERROR(DRE!D14/DRE!D7,"")</f>
        <v>0.14349022042137538</v>
      </c>
      <c r="E13" s="15">
        <f>IFERROR(DRE!E14/DRE!E7,"")</f>
        <v>0.18689356623237216</v>
      </c>
      <c r="F13" s="15">
        <f>IFERROR(DRE!F14/DRE!F7,"")</f>
        <v>8.3862374927616848E-2</v>
      </c>
      <c r="G13" s="15">
        <f>IFERROR(DRE!G14/DRE!G7,"")</f>
        <v>0.1661420488718969</v>
      </c>
      <c r="H13" s="15">
        <f>IFERROR(DRE!H14/DRE!H7,"")</f>
        <v>0.22086285511116438</v>
      </c>
      <c r="I13" s="15">
        <f>IFERROR(DRE!I14/DRE!I7,"")</f>
        <v>0.20430968993434517</v>
      </c>
      <c r="J13" s="15">
        <f>IFERROR(DRE!J14/DRE!J7,"")</f>
        <v>0.14361506955738348</v>
      </c>
      <c r="K13" s="15">
        <f>IFERROR(DRE!K14/DRE!K7,"")</f>
        <v>0.27359749343945977</v>
      </c>
      <c r="L13" s="15">
        <f>IFERROR(DRE!L14/DRE!L7,"")</f>
        <v>0.25165978209362672</v>
      </c>
      <c r="M13" s="15">
        <f>IFERROR(DRE!M14/DRE!M7,"")</f>
        <v>0.23455077706629826</v>
      </c>
      <c r="N13" s="15">
        <f>IFERROR(DRE!N14/DRE!N7,"")</f>
        <v>8.1948883156720276E-2</v>
      </c>
      <c r="O13" s="15">
        <f>IFERROR(DRE!O14/DRE!O7,"")</f>
        <v>0.25059537223204503</v>
      </c>
      <c r="P13" s="15">
        <f>IFERROR(DRE!P14/DRE!P7,"")</f>
        <v>0.19802447660587177</v>
      </c>
      <c r="Q13" s="15">
        <f>IFERROR(DRE!Q14/DRE!Q7,"")</f>
        <v>0.19342638130743342</v>
      </c>
      <c r="R13" s="15">
        <f>IFERROR(DRE!R14/DRE!R7,"")</f>
        <v>7.0033149292293373E-2</v>
      </c>
      <c r="S13" s="15">
        <f>IFERROR(DRE!S14/DRE!S7,"")</f>
        <v>0.21004917844176493</v>
      </c>
      <c r="T13" s="15">
        <f>IFERROR(DRE!T14/DRE!T7,"")</f>
        <v>0.2231728136048742</v>
      </c>
      <c r="U13" s="15">
        <f>IFERROR(DRE!U14/DRE!U7,"")</f>
        <v>0.22435828692943818</v>
      </c>
      <c r="V13" s="15">
        <f>IFERROR(DRE!V14/DRE!V7,"")</f>
        <v>0.16938057756153899</v>
      </c>
      <c r="W13" s="15">
        <f>IFERROR(DRE!W14/DRE!W7,"")</f>
        <v>0.28094027601692129</v>
      </c>
      <c r="X13" s="15">
        <f>IFERROR(DRE!X14/DRE!X7,"")</f>
        <v>0.27228293673915793</v>
      </c>
      <c r="Y13" s="15">
        <f>IFERROR(DRE!Y14/DRE!Y7,"")</f>
        <v>0.29613892654057833</v>
      </c>
      <c r="Z13" s="15">
        <f>IFERROR(DRE!Z14/DRE!Z7,"")</f>
        <v>0.22180872653945799</v>
      </c>
      <c r="AA13" s="15">
        <f>IFERROR(DRE!AA14/DRE!AA7,"")</f>
        <v>0.31746772039043514</v>
      </c>
      <c r="AB13" s="15">
        <f>IFERROR(DRE!AB14/DRE!AB7,"")</f>
        <v>0.34070199868834888</v>
      </c>
      <c r="AC13" s="15">
        <f>IFERROR(DRE!AC14/DRE!AC7,"")</f>
        <v>0.28220333306487833</v>
      </c>
      <c r="AD13" s="15">
        <f>IFERROR(DRE!AD14/DRE!AD7,"")</f>
        <v>0.24535070894272082</v>
      </c>
      <c r="AE13" s="15">
        <f>IFERROR(DRE!AE14/DRE!AE7,"")</f>
        <v>0.32302657105769522</v>
      </c>
      <c r="AF13" s="15">
        <f>IFERROR(DRE!AF14/DRE!AF7,"")</f>
        <v>0.33380817644163535</v>
      </c>
    </row>
    <row r="14" spans="1:32" x14ac:dyDescent="0.3">
      <c r="A14" s="4" t="s">
        <v>198</v>
      </c>
      <c r="B14" s="8"/>
      <c r="C14" s="14">
        <f>IFERROR(DRE!C15/DRE!C7,"")</f>
        <v>2.997771285593958E-2</v>
      </c>
      <c r="D14" s="14">
        <f>IFERROR(DRE!D15/DRE!D7,"")</f>
        <v>3.0881458003427096E-2</v>
      </c>
      <c r="E14" s="14">
        <f>IFERROR(DRE!E15/DRE!E7,"")</f>
        <v>3.0631632031466727E-2</v>
      </c>
      <c r="F14" s="14">
        <f>IFERROR(DRE!F15/DRE!F7,"")</f>
        <v>3.2520008471981554E-2</v>
      </c>
      <c r="G14" s="14">
        <f>IFERROR(DRE!G15/DRE!G7,"")</f>
        <v>3.1916238231208989E-2</v>
      </c>
      <c r="H14" s="14">
        <f>IFERROR(DRE!H15/DRE!H7,"")</f>
        <v>3.0764834296908114E-2</v>
      </c>
      <c r="I14" s="14">
        <f>IFERROR(DRE!I15/DRE!I7,"")</f>
        <v>3.0623075850921985E-2</v>
      </c>
      <c r="J14" s="14">
        <f>IFERROR(DRE!J15/DRE!J7,"")</f>
        <v>2.9676833660373589E-2</v>
      </c>
      <c r="K14" s="14">
        <f>IFERROR(DRE!K15/DRE!K7,"")</f>
        <v>2.7143982325420108E-2</v>
      </c>
      <c r="L14" s="14">
        <f>IFERROR(DRE!L15/DRE!L7,"")</f>
        <v>2.6059358653906267E-2</v>
      </c>
      <c r="M14" s="14">
        <f>IFERROR(DRE!M15/DRE!M7,"")</f>
        <v>2.5446627879831634E-2</v>
      </c>
      <c r="N14" s="14">
        <f>IFERROR(DRE!N15/DRE!N7,"")</f>
        <v>2.457143420468581E-2</v>
      </c>
      <c r="O14" s="14">
        <f>IFERROR(DRE!O15/DRE!O7,"")</f>
        <v>2.3841453362815651E-2</v>
      </c>
      <c r="P14" s="14">
        <f>IFERROR(DRE!P15/DRE!P7,"")</f>
        <v>2.2014039651243312E-2</v>
      </c>
      <c r="Q14" s="14">
        <f>IFERROR(DRE!Q15/DRE!Q7,"")</f>
        <v>2.1774406924204622E-2</v>
      </c>
      <c r="R14" s="14">
        <f>IFERROR(DRE!R15/DRE!R7,"")</f>
        <v>2.1727183960678818E-2</v>
      </c>
      <c r="S14" s="14">
        <f>IFERROR(DRE!S15/DRE!S7,"")</f>
        <v>2.1348886350957663E-2</v>
      </c>
      <c r="T14" s="14">
        <f>IFERROR(DRE!T15/DRE!T7,"")</f>
        <v>2.1351602927509324E-2</v>
      </c>
      <c r="U14" s="14">
        <f>IFERROR(DRE!U15/DRE!U7,"")</f>
        <v>2.0553713864786129E-2</v>
      </c>
      <c r="V14" s="14">
        <f>IFERROR(DRE!V15/DRE!V7,"")</f>
        <v>1.9836462286980664E-2</v>
      </c>
      <c r="W14" s="14">
        <f>IFERROR(DRE!W15/DRE!W7,"")</f>
        <v>1.8495823034990883E-2</v>
      </c>
      <c r="X14" s="14">
        <f>IFERROR(DRE!X15/DRE!X7,"")</f>
        <v>1.7573025668170612E-2</v>
      </c>
      <c r="Y14" s="14">
        <f>IFERROR(DRE!Y15/DRE!Y7,"")</f>
        <v>1.8812782432201771E-2</v>
      </c>
      <c r="Z14" s="14">
        <f>IFERROR(DRE!Z15/DRE!Z7,"")</f>
        <v>1.8796931209671037E-2</v>
      </c>
      <c r="AA14" s="14">
        <f>IFERROR(DRE!AA15/DRE!AA7,"")</f>
        <v>1.7468981914768193E-2</v>
      </c>
      <c r="AB14" s="14">
        <f>IFERROR(DRE!AB15/DRE!AB7,"")</f>
        <v>1.6485807686246422E-2</v>
      </c>
      <c r="AC14" s="14">
        <f>IFERROR(DRE!AC15/DRE!AC7,"")</f>
        <v>1.5229307089724019E-2</v>
      </c>
      <c r="AD14" s="14">
        <f>IFERROR(DRE!AD15/DRE!AD7,"")</f>
        <v>1.9450637229413377E-2</v>
      </c>
      <c r="AE14" s="14">
        <f>IFERROR(DRE!AE15/DRE!AE7,"")</f>
        <v>2.1394465212656873E-2</v>
      </c>
      <c r="AF14" s="14">
        <f>IFERROR(DRE!AF15/DRE!AF7,"")</f>
        <v>1.39877282833721E-2</v>
      </c>
    </row>
    <row r="15" spans="1:32" x14ac:dyDescent="0.3">
      <c r="A15" s="4" t="s">
        <v>199</v>
      </c>
      <c r="B15" s="8"/>
      <c r="C15" s="14">
        <f>IFERROR(DRE!C16/DRE!C7,"")</f>
        <v>1.6833473715503144E-2</v>
      </c>
      <c r="D15" s="14">
        <f>IFERROR(DRE!D16/DRE!D7,"")</f>
        <v>-1.0861007540752645E-2</v>
      </c>
      <c r="E15" s="14">
        <f>IFERROR(DRE!E16/DRE!E7,"")</f>
        <v>3.6748806699072718E-2</v>
      </c>
      <c r="F15" s="14">
        <f>IFERROR(DRE!F16/DRE!F7,"")</f>
        <v>-2.4029188098109638E-2</v>
      </c>
      <c r="G15" s="14">
        <f>IFERROR(DRE!G16/DRE!G7,"")</f>
        <v>3.7618173373018767E-3</v>
      </c>
      <c r="H15" s="14">
        <f>IFERROR(DRE!H16/DRE!H7,"")</f>
        <v>-2.166050831077149E-2</v>
      </c>
      <c r="I15" s="14">
        <f>IFERROR(DRE!I16/DRE!I7,"")</f>
        <v>-3.9828846779269872E-2</v>
      </c>
      <c r="J15" s="14">
        <f>IFERROR(DRE!J16/DRE!J7,"")</f>
        <v>-3.7721602506275168E-2</v>
      </c>
      <c r="K15" s="14">
        <f>IFERROR(DRE!K16/DRE!K7,"")</f>
        <v>3.7564624706942995E-2</v>
      </c>
      <c r="L15" s="14">
        <f>IFERROR(DRE!L16/DRE!L7,"")</f>
        <v>-8.5155133423420511E-3</v>
      </c>
      <c r="M15" s="14">
        <f>IFERROR(DRE!M16/DRE!M7,"")</f>
        <v>1.2846318424334605E-2</v>
      </c>
      <c r="N15" s="14">
        <f>IFERROR(DRE!N16/DRE!N7,"")</f>
        <v>1.407543442883015E-2</v>
      </c>
      <c r="O15" s="14">
        <f>IFERROR(DRE!O16/DRE!O7,"")</f>
        <v>2.4866648948805935E-2</v>
      </c>
      <c r="P15" s="14">
        <f>IFERROR(DRE!P16/DRE!P7,"")</f>
        <v>2.7631380674444782E-2</v>
      </c>
      <c r="Q15" s="14">
        <f>IFERROR(DRE!Q16/DRE!Q7,"")</f>
        <v>3.29822805598423E-2</v>
      </c>
      <c r="R15" s="14">
        <f>IFERROR(DRE!R16/DRE!R7,"")</f>
        <v>-4.3296320083422768E-2</v>
      </c>
      <c r="S15" s="14">
        <f>IFERROR(DRE!S16/DRE!S7,"")</f>
        <v>-8.7243734395490626E-3</v>
      </c>
      <c r="T15" s="14">
        <f>IFERROR(DRE!T16/DRE!T7,"")</f>
        <v>3.293026603028275E-3</v>
      </c>
      <c r="U15" s="14">
        <f>IFERROR(DRE!U16/DRE!U7,"")</f>
        <v>1.9693811559990389E-2</v>
      </c>
      <c r="V15" s="14">
        <f>IFERROR(DRE!V16/DRE!V7,"")</f>
        <v>-1.9557389623365118E-2</v>
      </c>
      <c r="W15" s="14">
        <f>IFERROR(DRE!W16/DRE!W7,"")</f>
        <v>1.6579691028382873E-2</v>
      </c>
      <c r="X15" s="14">
        <f>IFERROR(DRE!X16/DRE!X7,"")</f>
        <v>8.2647178509745994E-3</v>
      </c>
      <c r="Y15" s="14">
        <f>IFERROR(DRE!Y16/DRE!Y7,"")</f>
        <v>-2.2080056771181787E-3</v>
      </c>
      <c r="Z15" s="14">
        <f>IFERROR(DRE!Z16/DRE!Z7,"")</f>
        <v>5.280332928870533E-3</v>
      </c>
      <c r="AA15" s="14">
        <f>IFERROR(DRE!AA16/DRE!AA7,"")</f>
        <v>4.8278441374355833E-3</v>
      </c>
      <c r="AB15" s="14">
        <f>IFERROR(DRE!AB16/DRE!AB7,"")</f>
        <v>3.5769840437448095E-3</v>
      </c>
      <c r="AC15" s="14">
        <f>IFERROR(DRE!AC16/DRE!AC7,"")</f>
        <v>3.167335154483716E-3</v>
      </c>
      <c r="AD15" s="14">
        <f>IFERROR(DRE!AD16/DRE!AD7,"")</f>
        <v>3.7734543259588063E-3</v>
      </c>
      <c r="AE15" s="14">
        <f>IFERROR(DRE!AE16/DRE!AE7,"")</f>
        <v>0.23283449622714966</v>
      </c>
      <c r="AF15" s="14">
        <f>IFERROR(DRE!AF16/DRE!AF7,"")</f>
        <v>4.1131572464768538E-3</v>
      </c>
    </row>
    <row r="16" spans="1:32" x14ac:dyDescent="0.3">
      <c r="A16" s="4" t="s">
        <v>200</v>
      </c>
      <c r="B16" s="8"/>
      <c r="C16" s="14">
        <f>IFERROR(DRE!C17/DRE!C7,"")</f>
        <v>8.8400731520869816E-2</v>
      </c>
      <c r="D16" s="14">
        <f>IFERROR(DRE!D17/DRE!D7,"")</f>
        <v>0.10174775487719563</v>
      </c>
      <c r="E16" s="14">
        <f>IFERROR(DRE!E17/DRE!E7,"")</f>
        <v>0.19301074089997816</v>
      </c>
      <c r="F16" s="14">
        <f>IFERROR(DRE!F17/DRE!F7,"")</f>
        <v>2.7313178357525662E-2</v>
      </c>
      <c r="G16" s="14">
        <f>IFERROR(DRE!G17/DRE!G7,"")</f>
        <v>0.1379876279779898</v>
      </c>
      <c r="H16" s="14">
        <f>IFERROR(DRE!H17/DRE!H7,"")</f>
        <v>0.16843751250348477</v>
      </c>
      <c r="I16" s="14">
        <f>IFERROR(DRE!I17/DRE!I7,"")</f>
        <v>0.13385776730415333</v>
      </c>
      <c r="J16" s="14">
        <f>IFERROR(DRE!J17/DRE!J7,"")</f>
        <v>7.6216633390734714E-2</v>
      </c>
      <c r="K16" s="14">
        <f>IFERROR(DRE!K17/DRE!K7,"")</f>
        <v>0.28401813582098262</v>
      </c>
      <c r="L16" s="14">
        <f>IFERROR(DRE!L17/DRE!L7,"")</f>
        <v>0.2170849100973784</v>
      </c>
      <c r="M16" s="14">
        <f>IFERROR(DRE!M17/DRE!M7,"")</f>
        <v>0.2219504676108012</v>
      </c>
      <c r="N16" s="14">
        <f>IFERROR(DRE!N17/DRE!N7,"")</f>
        <v>7.1452883380864626E-2</v>
      </c>
      <c r="O16" s="14">
        <f>IFERROR(DRE!O17/DRE!O7,"")</f>
        <v>0.25162056781803532</v>
      </c>
      <c r="P16" s="14">
        <f>IFERROR(DRE!P17/DRE!P7,"")</f>
        <v>0.20364181762907327</v>
      </c>
      <c r="Q16" s="14">
        <f>IFERROR(DRE!Q17/DRE!Q7,"")</f>
        <v>0.20463425494307111</v>
      </c>
      <c r="R16" s="14">
        <f>IFERROR(DRE!R17/DRE!R7,"")</f>
        <v>5.0096452481917806E-3</v>
      </c>
      <c r="S16" s="14">
        <f>IFERROR(DRE!S17/DRE!S7,"")</f>
        <v>0.1799759186512582</v>
      </c>
      <c r="T16" s="14">
        <f>IFERROR(DRE!T17/DRE!T7,"")</f>
        <v>0.20511423728039313</v>
      </c>
      <c r="U16" s="14">
        <f>IFERROR(DRE!U17/DRE!U7,"")</f>
        <v>0.22349838462464244</v>
      </c>
      <c r="V16" s="14">
        <f>IFERROR(DRE!V17/DRE!V7,"")</f>
        <v>0.12998672565119321</v>
      </c>
      <c r="W16" s="14">
        <f>IFERROR(DRE!W17/DRE!W7,"")</f>
        <v>0.27902414401031328</v>
      </c>
      <c r="X16" s="14">
        <f>IFERROR(DRE!X17/DRE!X7,"")</f>
        <v>0.26297462892196194</v>
      </c>
      <c r="Y16" s="14">
        <f>IFERROR(DRE!Y17/DRE!Y7,"")</f>
        <v>0.27511813843125837</v>
      </c>
      <c r="Z16" s="14">
        <f>IFERROR(DRE!Z17/DRE!Z7,"")</f>
        <v>0.20829212825865748</v>
      </c>
      <c r="AA16" s="14">
        <f>IFERROR(DRE!AA17/DRE!AA7,"")</f>
        <v>0.30482658261310253</v>
      </c>
      <c r="AB16" s="14">
        <f>IFERROR(DRE!AB17/DRE!AB7,"")</f>
        <v>0.32779317504584732</v>
      </c>
      <c r="AC16" s="14">
        <f>IFERROR(DRE!AC17/DRE!AC7,"")</f>
        <v>0.27014136112963805</v>
      </c>
      <c r="AD16" s="14">
        <f>IFERROR(DRE!AD17/DRE!AD7,"")</f>
        <v>0.22967352603926625</v>
      </c>
      <c r="AE16" s="14">
        <f>IFERROR(DRE!AE17/DRE!AE7,"")</f>
        <v>0.53446660207218799</v>
      </c>
      <c r="AF16" s="14">
        <f>IFERROR(DRE!AF17/DRE!AF7,"")</f>
        <v>0.32393360540474009</v>
      </c>
    </row>
    <row r="17" spans="1:32" x14ac:dyDescent="0.3">
      <c r="A17" s="4" t="s">
        <v>201</v>
      </c>
      <c r="B17" s="8"/>
      <c r="C17" s="14">
        <f>IFERROR(DRE!C18/DRE!C7,"")</f>
        <v>1.2299734217623034E-2</v>
      </c>
      <c r="D17" s="14">
        <f>IFERROR(DRE!D18/DRE!D7,"")</f>
        <v>4.6772409993995671E-2</v>
      </c>
      <c r="E17" s="14">
        <f>IFERROR(DRE!E18/DRE!E7,"")</f>
        <v>6.6174506497257826E-2</v>
      </c>
      <c r="F17" s="14">
        <f>IFERROR(DRE!F18/DRE!F7,"")</f>
        <v>-8.0044313292122041E-2</v>
      </c>
      <c r="G17" s="14">
        <f>IFERROR(DRE!G18/DRE!G7,"")</f>
        <v>1.5049870043315428E-2</v>
      </c>
      <c r="H17" s="14">
        <f>IFERROR(DRE!H18/DRE!H7,"")</f>
        <v>5.1299825674992999E-2</v>
      </c>
      <c r="I17" s="14">
        <f>IFERROR(DRE!I18/DRE!I7,"")</f>
        <v>1.1107525175829525E-2</v>
      </c>
      <c r="J17" s="14">
        <f>IFERROR(DRE!J18/DRE!J7,"")</f>
        <v>-5.3787812430298879E-3</v>
      </c>
      <c r="K17" s="14">
        <f>IFERROR(DRE!K18/DRE!K7,"")</f>
        <v>4.5759332105032295E-2</v>
      </c>
      <c r="L17" s="14">
        <f>IFERROR(DRE!L18/DRE!L7,"")</f>
        <v>3.2795330067911355E-2</v>
      </c>
      <c r="M17" s="14">
        <f>IFERROR(DRE!M18/DRE!M7,"")</f>
        <v>2.8314149043484792E-2</v>
      </c>
      <c r="N17" s="14">
        <f>IFERROR(DRE!N18/DRE!N7,"")</f>
        <v>-7.3386517458483352E-3</v>
      </c>
      <c r="O17" s="14">
        <f>IFERROR(DRE!O18/DRE!O7,"")</f>
        <v>4.8583670563706327E-2</v>
      </c>
      <c r="P17" s="14">
        <f>IFERROR(DRE!P18/DRE!P7,"")</f>
        <v>2.2848152874585283E-2</v>
      </c>
      <c r="Q17" s="14">
        <f>IFERROR(DRE!Q18/DRE!Q7,"")</f>
        <v>2.8213045112483123E-2</v>
      </c>
      <c r="R17" s="14">
        <f>IFERROR(DRE!R18/DRE!R7,"")</f>
        <v>-2.0310611759752515E-3</v>
      </c>
      <c r="S17" s="14">
        <f>IFERROR(DRE!S18/DRE!S7,"")</f>
        <v>2.0064196508902832E-2</v>
      </c>
      <c r="T17" s="14">
        <f>IFERROR(DRE!T18/DRE!T7,"")</f>
        <v>2.341699663906335E-2</v>
      </c>
      <c r="U17" s="14">
        <f>IFERROR(DRE!U18/DRE!U7,"")</f>
        <v>2.71173030841283E-2</v>
      </c>
      <c r="V17" s="14">
        <f>IFERROR(DRE!V18/DRE!V7,"")</f>
        <v>2.3810275874366356E-2</v>
      </c>
      <c r="W17" s="14">
        <f>IFERROR(DRE!W18/DRE!W7,"")</f>
        <v>3.0134123904533832E-2</v>
      </c>
      <c r="X17" s="14">
        <f>IFERROR(DRE!X18/DRE!X7,"")</f>
        <v>3.8344817774504651E-2</v>
      </c>
      <c r="Y17" s="14">
        <f>IFERROR(DRE!Y18/DRE!Y7,"")</f>
        <v>3.4550153831622188E-2</v>
      </c>
      <c r="Z17" s="14">
        <f>IFERROR(DRE!Z18/DRE!Z7,"")</f>
        <v>2.5926966569017183E-2</v>
      </c>
      <c r="AA17" s="14">
        <f>IFERROR(DRE!AA18/DRE!AA7,"")</f>
        <v>3.0672588812024434E-2</v>
      </c>
      <c r="AB17" s="14">
        <f>IFERROR(DRE!AB18/DRE!AB7,"")</f>
        <v>4.5694955739448262E-2</v>
      </c>
      <c r="AC17" s="14">
        <f>IFERROR(DRE!AC18/DRE!AC7,"")</f>
        <v>4.8868722615304699E-2</v>
      </c>
      <c r="AD17" s="14">
        <f>IFERROR(DRE!AD18/DRE!AD7,"")</f>
        <v>2.8979080327036583E-2</v>
      </c>
      <c r="AE17" s="14">
        <f>IFERROR(DRE!AE18/DRE!AE7,"")</f>
        <v>0.10320980244750978</v>
      </c>
      <c r="AF17" s="14">
        <f>IFERROR(DRE!AF18/DRE!AF7,"")</f>
        <v>5.3119052020798196E-2</v>
      </c>
    </row>
    <row r="18" spans="1:32" x14ac:dyDescent="0.3">
      <c r="A18" s="3" t="s">
        <v>202</v>
      </c>
      <c r="B18" s="8"/>
      <c r="C18" s="15">
        <f>IFERROR(DRE!C19/DRE!C7,"")</f>
        <v>7.6100997303246778E-2</v>
      </c>
      <c r="D18" s="15">
        <f>IFERROR(DRE!D19/DRE!D7,"")</f>
        <v>5.497534488319996E-2</v>
      </c>
      <c r="E18" s="15">
        <f>IFERROR(DRE!E19/DRE!E7,"")</f>
        <v>0.12683623440272035</v>
      </c>
      <c r="F18" s="15">
        <f>IFERROR(DRE!F19/DRE!F7,"")</f>
        <v>0.10735749164964771</v>
      </c>
      <c r="G18" s="15">
        <f>IFERROR(DRE!G19/DRE!G7,"")</f>
        <v>0.12293775793467436</v>
      </c>
      <c r="H18" s="15">
        <f>IFERROR(DRE!H19/DRE!H7,"")</f>
        <v>0.11713768682849177</v>
      </c>
      <c r="I18" s="15">
        <f>IFERROR(DRE!I19/DRE!I7,"")</f>
        <v>0.12275024212832379</v>
      </c>
      <c r="J18" s="15">
        <f>IFERROR(DRE!J19/DRE!J7,"")</f>
        <v>8.1595414633764601E-2</v>
      </c>
      <c r="K18" s="15">
        <f>IFERROR(DRE!K19/DRE!K7,"")</f>
        <v>0.23825880371595032</v>
      </c>
      <c r="L18" s="15">
        <f>IFERROR(DRE!L19/DRE!L7,"")</f>
        <v>0.18428958002946702</v>
      </c>
      <c r="M18" s="15">
        <f>IFERROR(DRE!M19/DRE!M7,"")</f>
        <v>0.19363631856731642</v>
      </c>
      <c r="N18" s="15">
        <f>IFERROR(DRE!N19/DRE!N7,"")</f>
        <v>7.8791535126712969E-2</v>
      </c>
      <c r="O18" s="15">
        <f>IFERROR(DRE!O19/DRE!O7,"")</f>
        <v>0.20303689725432897</v>
      </c>
      <c r="P18" s="15">
        <f>IFERROR(DRE!P19/DRE!P7,"")</f>
        <v>0.18079366475448799</v>
      </c>
      <c r="Q18" s="15">
        <f>IFERROR(DRE!Q19/DRE!Q7,"")</f>
        <v>0.17642120983058798</v>
      </c>
      <c r="R18" s="15">
        <f>IFERROR(DRE!R19/DRE!R7,"")</f>
        <v>7.0407064241670321E-3</v>
      </c>
      <c r="S18" s="15">
        <f>IFERROR(DRE!S19/DRE!S7,"")</f>
        <v>0.15991172214235538</v>
      </c>
      <c r="T18" s="15">
        <f>IFERROR(DRE!T19/DRE!T7,"")</f>
        <v>0.1816972406413298</v>
      </c>
      <c r="U18" s="15">
        <f>IFERROR(DRE!U19/DRE!U7,"")</f>
        <v>0.19638108154051415</v>
      </c>
      <c r="V18" s="15">
        <f>IFERROR(DRE!V19/DRE!V7,"")</f>
        <v>0.10617644977682686</v>
      </c>
      <c r="W18" s="15">
        <f>IFERROR(DRE!W19/DRE!W7,"")</f>
        <v>0.24889002010577946</v>
      </c>
      <c r="X18" s="15">
        <f>IFERROR(DRE!X19/DRE!X7,"")</f>
        <v>0.22462981114745725</v>
      </c>
      <c r="Y18" s="15">
        <f>IFERROR(DRE!Y19/DRE!Y7,"")</f>
        <v>0.24056798459963616</v>
      </c>
      <c r="Z18" s="15">
        <f>IFERROR(DRE!Z19/DRE!Z7,"")</f>
        <v>0.18236516168964029</v>
      </c>
      <c r="AA18" s="15">
        <f>IFERROR(DRE!AA19/DRE!AA7,"")</f>
        <v>0.27415399380107808</v>
      </c>
      <c r="AB18" s="15">
        <f>IFERROR(DRE!AB19/DRE!AB7,"")</f>
        <v>0.28209821930639906</v>
      </c>
      <c r="AC18" s="15">
        <f>IFERROR(DRE!AC19/DRE!AC7,"")</f>
        <v>0.22127263851433332</v>
      </c>
      <c r="AD18" s="15">
        <f>IFERROR(DRE!AD19/DRE!AD7,"")</f>
        <v>0.20069444571222969</v>
      </c>
      <c r="AE18" s="15">
        <f>IFERROR(DRE!AE19/DRE!AE7,"")</f>
        <v>0.43125679962467822</v>
      </c>
      <c r="AF18" s="15">
        <f>IFERROR(DRE!AF19/DRE!AF7,"")</f>
        <v>0.27081455338394189</v>
      </c>
    </row>
    <row r="19" spans="1:32" x14ac:dyDescent="0.3">
      <c r="A19" s="4" t="s">
        <v>203</v>
      </c>
      <c r="B19" s="8"/>
      <c r="C19" s="14">
        <f>IFERROR(DRE!C28/DRE!C7,"")</f>
        <v>0.46996013264345526</v>
      </c>
      <c r="D19" s="14">
        <f>IFERROR(DRE!D28/DRE!D7,"")</f>
        <v>0.45335413587654649</v>
      </c>
      <c r="E19" s="14">
        <f>IFERROR(DRE!E28/DRE!E7,"")</f>
        <v>0.43470320244122629</v>
      </c>
      <c r="F19" s="14">
        <f>IFERROR(DRE!F28/DRE!F7,"")</f>
        <v>0.47182444269103196</v>
      </c>
      <c r="G19" s="14">
        <f>IFERROR(DRE!G28/DRE!G7,"")</f>
        <v>0.43056831581303512</v>
      </c>
      <c r="H19" s="14">
        <f>IFERROR(DRE!H28/DRE!H7,"")</f>
        <v>0.42404647409050261</v>
      </c>
      <c r="I19" s="14">
        <f>IFERROR(DRE!I28/DRE!I7,"")</f>
        <v>0.42478203789306329</v>
      </c>
      <c r="J19" s="14">
        <f>IFERROR(DRE!J28/DRE!J7,"")</f>
        <v>0.44889021531078155</v>
      </c>
      <c r="K19" s="14">
        <f>IFERROR(DRE!K28/DRE!K7,"")</f>
        <v>0.37960197574240406</v>
      </c>
      <c r="L19" s="14">
        <f>IFERROR(DRE!L28/DRE!L7,"")</f>
        <v>0.38230567340849497</v>
      </c>
      <c r="M19" s="14">
        <f>IFERROR(DRE!M28/DRE!M7,"")</f>
        <v>0.39594629066981923</v>
      </c>
      <c r="N19" s="14">
        <f>IFERROR(DRE!N28/DRE!N7,"")</f>
        <v>0.4852980510078842</v>
      </c>
      <c r="O19" s="14">
        <f>IFERROR(DRE!O28/DRE!O7,"")</f>
        <v>0.4024477338995931</v>
      </c>
      <c r="P19" s="14">
        <f>IFERROR(DRE!P28/DRE!P7,"")</f>
        <v>0.40919577206977897</v>
      </c>
      <c r="Q19" s="14">
        <f>IFERROR(DRE!Q28/DRE!Q7,"")</f>
        <v>0.46098681120103502</v>
      </c>
      <c r="R19" s="14">
        <f>IFERROR(DRE!R28/DRE!R7,"")</f>
        <v>0.50239434196381505</v>
      </c>
      <c r="S19" s="14">
        <f>IFERROR(DRE!S28/DRE!S7,"")</f>
        <v>0.42393956113230613</v>
      </c>
      <c r="T19" s="14">
        <f>IFERROR(DRE!T28/DRE!T7,"")</f>
        <v>0.41650123770947228</v>
      </c>
      <c r="U19" s="14">
        <f>IFERROR(DRE!U28/DRE!U7,"")</f>
        <v>0.41834370055122727</v>
      </c>
      <c r="V19" s="14">
        <f>IFERROR(DRE!V28/DRE!V7,"")</f>
        <v>0.42501453385525012</v>
      </c>
      <c r="W19" s="14">
        <f>IFERROR(DRE!W28/DRE!W7,"")</f>
        <v>0.39174307716606688</v>
      </c>
      <c r="X19" s="14">
        <f>IFERROR(DRE!X28/DRE!X7,"")</f>
        <v>0.39434749997646279</v>
      </c>
      <c r="Y19" s="14">
        <f>IFERROR(DRE!Y28/DRE!Y7,"")</f>
        <v>0.37655296043045783</v>
      </c>
      <c r="Z19" s="14">
        <f>IFERROR(DRE!Z28/DRE!Z7,"")</f>
        <v>0.40613826381716395</v>
      </c>
      <c r="AA19" s="14">
        <f>IFERROR(DRE!AA28/DRE!AA7,"")</f>
        <v>0.36262773052436448</v>
      </c>
      <c r="AB19" s="14">
        <f>IFERROR(DRE!AB28/DRE!AB7,"")</f>
        <v>0.34588108888340513</v>
      </c>
      <c r="AC19" s="14">
        <f>IFERROR(DRE!AC28/DRE!AC7,"")</f>
        <v>0.34775301822966148</v>
      </c>
      <c r="AD19" s="14">
        <f>IFERROR(DRE!AD28/DRE!AD7,"")</f>
        <v>0.39534728177355088</v>
      </c>
      <c r="AE19" s="14">
        <f>IFERROR(DRE!AE28/DRE!AE7,"")</f>
        <v>0.34432519763453268</v>
      </c>
      <c r="AF19" s="14">
        <f>IFERROR(DRE!AF28/DRE!AF7,"")</f>
        <v>0.34325878041754665</v>
      </c>
    </row>
    <row r="20" spans="1:32" x14ac:dyDescent="0.3">
      <c r="A20" s="4" t="s">
        <v>204</v>
      </c>
      <c r="B20" s="8"/>
      <c r="C20" s="14">
        <f>IFERROR(DRE!C30/DRE!C7,"")</f>
        <v>0.10675643752521576</v>
      </c>
      <c r="D20" s="14">
        <f>IFERROR(DRE!D30/DRE!D7,"")</f>
        <v>0.14866905431438135</v>
      </c>
      <c r="E20" s="14">
        <f>IFERROR(DRE!E30/DRE!E7,"")</f>
        <v>0.1919849835221038</v>
      </c>
      <c r="F20" s="14">
        <f>IFERROR(DRE!F30/DRE!F7,"")</f>
        <v>8.8950319290548349E-2</v>
      </c>
      <c r="G20" s="14">
        <f>IFERROR(DRE!G30/DRE!G7,"")</f>
        <v>0.17108631513026615</v>
      </c>
      <c r="H20" s="14">
        <f>IFERROR(DRE!H30/DRE!H7,"")</f>
        <v>0.22519918559416402</v>
      </c>
      <c r="I20" s="14">
        <f>IFERROR(DRE!I30/DRE!I7,"")</f>
        <v>0.20875198523471716</v>
      </c>
      <c r="J20" s="14">
        <f>IFERROR(DRE!J30/DRE!J7,"")</f>
        <v>0.14842254624240833</v>
      </c>
      <c r="K20" s="14">
        <f>IFERROR(DRE!K30/DRE!K7,"")</f>
        <v>0.27858696614205614</v>
      </c>
      <c r="L20" s="14">
        <f>IFERROR(DRE!L30/DRE!L7,"")</f>
        <v>0.25689475449880872</v>
      </c>
      <c r="M20" s="14">
        <f>IFERROR(DRE!M30/DRE!M7,"")</f>
        <v>0.24393853811341717</v>
      </c>
      <c r="N20" s="14">
        <f>IFERROR(DRE!N30/DRE!N7,"")</f>
        <v>9.0248449992593432E-2</v>
      </c>
      <c r="O20" s="14">
        <f>IFERROR(DRE!O30/DRE!O7,"")</f>
        <v>0.26007735104509327</v>
      </c>
      <c r="P20" s="14">
        <f>IFERROR(DRE!P30/DRE!P7,"")</f>
        <v>0.20850170655701067</v>
      </c>
      <c r="Q20" s="14">
        <f>IFERROR(DRE!Q30/DRE!Q7,"")</f>
        <v>0.20417485690968837</v>
      </c>
      <c r="R20" s="14">
        <f>IFERROR(DRE!R30/DRE!R7,"")</f>
        <v>8.192647196854122E-2</v>
      </c>
      <c r="S20" s="14">
        <f>IFERROR(DRE!S30/DRE!S7,"")</f>
        <v>0.2211176054214524</v>
      </c>
      <c r="T20" s="14">
        <f>IFERROR(DRE!T30/DRE!T7,"")</f>
        <v>0.23409033086727851</v>
      </c>
      <c r="U20" s="14">
        <f>IFERROR(DRE!U30/DRE!U7,"")</f>
        <v>0.23497213893117835</v>
      </c>
      <c r="V20" s="14">
        <f>IFERROR(DRE!V30/DRE!V7,"")</f>
        <v>0.17918117929428024</v>
      </c>
      <c r="W20" s="14">
        <f>IFERROR(DRE!W30/DRE!W7,"")</f>
        <v>0.29024976415195014</v>
      </c>
      <c r="X20" s="14">
        <f>IFERROR(DRE!X30/DRE!X7,"")</f>
        <v>0.28078009814515897</v>
      </c>
      <c r="Y20" s="14">
        <f>IFERROR(DRE!Y30/DRE!Y7,"")</f>
        <v>0.30437469712824905</v>
      </c>
      <c r="Z20" s="14">
        <f>IFERROR(DRE!Z30/DRE!Z7,"")</f>
        <v>0.22957126975781922</v>
      </c>
      <c r="AA20" s="14">
        <f>IFERROR(DRE!AA30/DRE!AA7,"")</f>
        <v>0.32506219172684753</v>
      </c>
      <c r="AB20" s="14">
        <f>IFERROR(DRE!AB30/DRE!AB7,"")</f>
        <v>0.3479239321804547</v>
      </c>
      <c r="AC20" s="14">
        <f>IFERROR(DRE!AC30/DRE!AC7,"")</f>
        <v>0.28979009856122867</v>
      </c>
      <c r="AD20" s="14">
        <f>IFERROR(DRE!AD30/DRE!AD7,"")</f>
        <v>0.25248577641812198</v>
      </c>
      <c r="AE20" s="14">
        <f>IFERROR(DRE!AE30/DRE!AE7,"")</f>
        <v>0.33107366946136152</v>
      </c>
      <c r="AF20" s="14">
        <f>IFERROR(DRE!AF30/DRE!AF7,"")</f>
        <v>0.34181219684364689</v>
      </c>
    </row>
    <row r="22" spans="1:32" x14ac:dyDescent="0.3">
      <c r="A22" s="6" t="s">
        <v>205</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row>
    <row r="23" spans="1:32" x14ac:dyDescent="0.3">
      <c r="A23" s="4" t="s">
        <v>206</v>
      </c>
      <c r="B23" s="8"/>
      <c r="C23" s="14">
        <f>IFERROR(BP!C7/BP!C15,"")</f>
        <v>0.12302444149287149</v>
      </c>
      <c r="D23" s="14">
        <f>IFERROR(BP!D7/BP!D15,"")</f>
        <v>0.16586095168000334</v>
      </c>
      <c r="E23" s="14">
        <f>IFERROR(BP!E7/BP!E15,"")</f>
        <v>0.14333460744947168</v>
      </c>
      <c r="F23" s="14">
        <f>IFERROR(BP!F7/BP!F15,"")</f>
        <v>0.1477066028814937</v>
      </c>
      <c r="G23" s="14">
        <f>IFERROR(BP!G7/BP!G15,"")</f>
        <v>0.14694515758882437</v>
      </c>
      <c r="H23" s="14">
        <f>IFERROR(BP!H7/BP!H15,"")</f>
        <v>0.19241947357438938</v>
      </c>
      <c r="I23" s="14">
        <f>IFERROR(BP!I7/BP!I15,"")</f>
        <v>0.21729255372956668</v>
      </c>
      <c r="J23" s="14">
        <f>IFERROR(BP!J7/BP!J15,"")</f>
        <v>0.20889702153689582</v>
      </c>
      <c r="K23" s="14">
        <f>IFERROR(BP!K7/BP!K15,"")</f>
        <v>0.20944849756301956</v>
      </c>
      <c r="L23" s="14">
        <f>IFERROR(BP!L7/BP!L15,"")</f>
        <v>0.18983026737785968</v>
      </c>
      <c r="M23" s="14">
        <f>IFERROR(BP!M7/BP!M15,"")</f>
        <v>0.17610449655926549</v>
      </c>
      <c r="N23" s="14">
        <f>IFERROR(BP!N7/BP!N15,"")</f>
        <v>0.13519904815698619</v>
      </c>
      <c r="O23" s="14">
        <f>IFERROR(BP!O7/BP!O15,"")</f>
        <v>0.13255738292799102</v>
      </c>
      <c r="P23" s="14">
        <f>IFERROR(BP!P7/BP!P15,"")</f>
        <v>0.12555192252324576</v>
      </c>
      <c r="Q23" s="14">
        <f>IFERROR(BP!Q7/BP!Q15,"")</f>
        <v>0.12854188138993694</v>
      </c>
      <c r="R23" s="14">
        <f>IFERROR(BP!R7/BP!R15,"")</f>
        <v>0.10592037397935516</v>
      </c>
      <c r="S23" s="14">
        <f>IFERROR(BP!S7/BP!S15,"")</f>
        <v>0.13567482707990822</v>
      </c>
      <c r="T23" s="14">
        <f>IFERROR(BP!T7/BP!T15,"")</f>
        <v>0.1507904180910373</v>
      </c>
      <c r="U23" s="14">
        <f>IFERROR(BP!U7/BP!U15,"")</f>
        <v>0.14854504441516514</v>
      </c>
      <c r="V23" s="14">
        <f>IFERROR(BP!V7/BP!V15,"")</f>
        <v>0.14604190610554152</v>
      </c>
      <c r="W23" s="14">
        <f>IFERROR(BP!W7/BP!W15,"")</f>
        <v>0.14386839803561588</v>
      </c>
      <c r="X23" s="14">
        <f>IFERROR(BP!X7/BP!X15,"")</f>
        <v>0.13493051116527166</v>
      </c>
      <c r="Y23" s="14">
        <f>IFERROR(BP!Y7/BP!Y15,"")</f>
        <v>0.14263125455177136</v>
      </c>
      <c r="Z23" s="14">
        <f>IFERROR(BP!Z7/BP!Z15,"")</f>
        <v>0.14552822249570738</v>
      </c>
      <c r="AA23" s="14">
        <f>IFERROR(BP!AA7/BP!AA15,"")</f>
        <v>0.13822564138243612</v>
      </c>
      <c r="AB23" s="14">
        <f>IFERROR(BP!AB7/BP!AB15,"")</f>
        <v>0.15400106863199736</v>
      </c>
      <c r="AC23" s="14">
        <f>IFERROR(BP!AC7/BP!AC15,"")</f>
        <v>0.1690600690800291</v>
      </c>
      <c r="AD23" s="14">
        <f>IFERROR(BP!AD7/BP!AD15,"")</f>
        <v>0.16248506461491541</v>
      </c>
      <c r="AE23" s="14">
        <f>IFERROR(BP!AE7/BP!AE15,"")</f>
        <v>0.20092744984529776</v>
      </c>
      <c r="AF23" s="14">
        <f>IFERROR(BP!AF7/BP!AF15,"")</f>
        <v>0.15567430877039917</v>
      </c>
    </row>
    <row r="24" spans="1:32" x14ac:dyDescent="0.3">
      <c r="A24" s="4" t="s">
        <v>207</v>
      </c>
      <c r="B24" s="8"/>
      <c r="C24" s="14">
        <f>IFERROR(BP!C8/BP!C15,"")</f>
        <v>0</v>
      </c>
      <c r="D24" s="14">
        <f>IFERROR(BP!D8/BP!D15,"")</f>
        <v>0</v>
      </c>
      <c r="E24" s="14">
        <f>IFERROR(BP!E8/BP!E15,"")</f>
        <v>0</v>
      </c>
      <c r="F24" s="14">
        <f>IFERROR(BP!F8/BP!F15,"")</f>
        <v>0</v>
      </c>
      <c r="G24" s="14">
        <f>IFERROR(BP!G8/BP!G15,"")</f>
        <v>0</v>
      </c>
      <c r="H24" s="14">
        <f>IFERROR(BP!H8/BP!H15,"")</f>
        <v>0</v>
      </c>
      <c r="I24" s="14">
        <f>IFERROR(BP!I8/BP!I15,"")</f>
        <v>0</v>
      </c>
      <c r="J24" s="14">
        <f>IFERROR(BP!J8/BP!J15,"")</f>
        <v>0</v>
      </c>
      <c r="K24" s="14">
        <f>IFERROR(BP!K8/BP!K15,"")</f>
        <v>0</v>
      </c>
      <c r="L24" s="14">
        <f>IFERROR(BP!L8/BP!L15,"")</f>
        <v>0</v>
      </c>
      <c r="M24" s="14">
        <f>IFERROR(BP!M8/BP!M15,"")</f>
        <v>0</v>
      </c>
      <c r="N24" s="14">
        <f>IFERROR(BP!N8/BP!N15,"")</f>
        <v>0</v>
      </c>
      <c r="O24" s="14">
        <f>IFERROR(BP!O8/BP!O15,"")</f>
        <v>0</v>
      </c>
      <c r="P24" s="14">
        <f>IFERROR(BP!P8/BP!P15,"")</f>
        <v>0</v>
      </c>
      <c r="Q24" s="14">
        <f>IFERROR(BP!Q8/BP!Q15,"")</f>
        <v>0</v>
      </c>
      <c r="R24" s="14">
        <f>IFERROR(BP!R8/BP!R15,"")</f>
        <v>1.8752553772867071E-2</v>
      </c>
      <c r="S24" s="14">
        <f>IFERROR(BP!S8/BP!S15,"")</f>
        <v>2.2487416484972978E-2</v>
      </c>
      <c r="T24" s="14">
        <f>IFERROR(BP!T8/BP!T15,"")</f>
        <v>1.798989493239855E-2</v>
      </c>
      <c r="U24" s="14">
        <f>IFERROR(BP!U8/BP!U15,"")</f>
        <v>1.0387524199631909E-2</v>
      </c>
      <c r="V24" s="14">
        <f>IFERROR(BP!V8/BP!V15,"")</f>
        <v>4.3037436269791719E-4</v>
      </c>
      <c r="W24" s="14">
        <f>IFERROR(BP!W8/BP!W15,"")</f>
        <v>4.2953059390177147E-4</v>
      </c>
      <c r="X24" s="14">
        <f>IFERROR(BP!X8/BP!X15,"")</f>
        <v>6.3082886081244807E-4</v>
      </c>
      <c r="Y24" s="14">
        <f>IFERROR(BP!Y8/BP!Y15,"")</f>
        <v>3.3795709271463345E-2</v>
      </c>
      <c r="Z24" s="14">
        <f>IFERROR(BP!Z8/BP!Z15,"")</f>
        <v>3.3171612787932452E-2</v>
      </c>
      <c r="AA24" s="14">
        <f>IFERROR(BP!AA8/BP!AA15,"")</f>
        <v>2.2484065510814812E-2</v>
      </c>
      <c r="AB24" s="14">
        <f>IFERROR(BP!AB8/BP!AB15,"")</f>
        <v>4.0134905561737648E-3</v>
      </c>
      <c r="AC24" s="14">
        <f>IFERROR(BP!AC8/BP!AC15,"")</f>
        <v>6.7543663324009249E-4</v>
      </c>
      <c r="AD24" s="14">
        <f>IFERROR(BP!AD8/BP!AD15,"")</f>
        <v>5.1581926382241567E-4</v>
      </c>
      <c r="AE24" s="14">
        <f>IFERROR(BP!AE8/BP!AE15,"")</f>
        <v>4.700085292502543E-4</v>
      </c>
      <c r="AF24" s="14">
        <f>IFERROR(BP!AF8/BP!AF15,"")</f>
        <v>4.9063787217619112E-4</v>
      </c>
    </row>
    <row r="25" spans="1:32" x14ac:dyDescent="0.3">
      <c r="A25" s="4" t="s">
        <v>208</v>
      </c>
      <c r="B25" s="8"/>
      <c r="C25" s="14">
        <f>IFERROR(BP!C9/BP!C15,"")</f>
        <v>3.0139281063060037E-2</v>
      </c>
      <c r="D25" s="14">
        <f>IFERROR(BP!D9/BP!D15,"")</f>
        <v>2.8931762027532153E-2</v>
      </c>
      <c r="E25" s="14">
        <f>IFERROR(BP!E9/BP!E15,"")</f>
        <v>2.8852315245268757E-2</v>
      </c>
      <c r="F25" s="14">
        <f>IFERROR(BP!F9/BP!F15,"")</f>
        <v>3.414400851996862E-2</v>
      </c>
      <c r="G25" s="14">
        <f>IFERROR(BP!G9/BP!G15,"")</f>
        <v>3.6962359572514585E-2</v>
      </c>
      <c r="H25" s="14">
        <f>IFERROR(BP!H9/BP!H15,"")</f>
        <v>3.7952396378658174E-2</v>
      </c>
      <c r="I25" s="14">
        <f>IFERROR(BP!I9/BP!I15,"")</f>
        <v>3.7130879755898002E-2</v>
      </c>
      <c r="J25" s="14">
        <f>IFERROR(BP!J9/BP!J15,"")</f>
        <v>3.9613436323227086E-2</v>
      </c>
      <c r="K25" s="14">
        <f>IFERROR(BP!K9/BP!K15,"")</f>
        <v>4.2464481855724996E-2</v>
      </c>
      <c r="L25" s="14">
        <f>IFERROR(BP!L9/BP!L15,"")</f>
        <v>4.458635088664855E-2</v>
      </c>
      <c r="M25" s="14">
        <f>IFERROR(BP!M9/BP!M15,"")</f>
        <v>4.4200101090651749E-2</v>
      </c>
      <c r="N25" s="14">
        <f>IFERROR(BP!N9/BP!N15,"")</f>
        <v>4.5800974204963707E-2</v>
      </c>
      <c r="O25" s="14">
        <f>IFERROR(BP!O9/BP!O15,"")</f>
        <v>4.6084874018837124E-2</v>
      </c>
      <c r="P25" s="14">
        <f>IFERROR(BP!P9/BP!P15,"")</f>
        <v>4.3609238950627426E-2</v>
      </c>
      <c r="Q25" s="14">
        <f>IFERROR(BP!Q9/BP!Q15,"")</f>
        <v>5.6834434463663333E-2</v>
      </c>
      <c r="R25" s="14">
        <f>IFERROR(BP!R9/BP!R15,"")</f>
        <v>6.6015769434273258E-2</v>
      </c>
      <c r="S25" s="14">
        <f>IFERROR(BP!S9/BP!S15,"")</f>
        <v>5.3649231986562226E-2</v>
      </c>
      <c r="T25" s="14">
        <f>IFERROR(BP!T9/BP!T15,"")</f>
        <v>5.7644483817603454E-2</v>
      </c>
      <c r="U25" s="14">
        <f>IFERROR(BP!U9/BP!U15,"")</f>
        <v>5.8826725969038769E-2</v>
      </c>
      <c r="V25" s="14">
        <f>IFERROR(BP!V9/BP!V15,"")</f>
        <v>5.7051782328126459E-2</v>
      </c>
      <c r="W25" s="14">
        <f>IFERROR(BP!W9/BP!W15,"")</f>
        <v>5.8892242789705465E-2</v>
      </c>
      <c r="X25" s="14">
        <f>IFERROR(BP!X9/BP!X15,"")</f>
        <v>6.0279177362341868E-2</v>
      </c>
      <c r="Y25" s="14">
        <f>IFERROR(BP!Y9/BP!Y15,"")</f>
        <v>5.5567512117590957E-2</v>
      </c>
      <c r="Z25" s="14">
        <f>IFERROR(BP!Z9/BP!Z15,"")</f>
        <v>6.5571797056645537E-2</v>
      </c>
      <c r="AA25" s="14">
        <f>IFERROR(BP!AA9/BP!AA15,"")</f>
        <v>6.3866240523376333E-2</v>
      </c>
      <c r="AB25" s="14">
        <f>IFERROR(BP!AB9/BP!AB15,"")</f>
        <v>6.7845740040840929E-2</v>
      </c>
      <c r="AC25" s="14">
        <f>IFERROR(BP!AC9/BP!AC15,"")</f>
        <v>6.6233802285926596E-2</v>
      </c>
      <c r="AD25" s="14">
        <f>IFERROR(BP!AD9/BP!AD15,"")</f>
        <v>7.1187878812078914E-2</v>
      </c>
      <c r="AE25" s="14">
        <f>IFERROR(BP!AE9/BP!AE15,"")</f>
        <v>7.8381715301355653E-2</v>
      </c>
      <c r="AF25" s="14">
        <f>IFERROR(BP!AF9/BP!AF15,"")</f>
        <v>8.0844437084743301E-2</v>
      </c>
    </row>
    <row r="26" spans="1:32" x14ac:dyDescent="0.3">
      <c r="A26" s="3" t="s">
        <v>209</v>
      </c>
      <c r="B26" s="8"/>
      <c r="C26" s="15">
        <f>IFERROR(BP!C10/BP!C15,"")</f>
        <v>0.15316372255593153</v>
      </c>
      <c r="D26" s="15">
        <f>IFERROR(BP!D10/BP!D15,"")</f>
        <v>0.19479271370753548</v>
      </c>
      <c r="E26" s="15">
        <f>IFERROR(BP!E10/BP!E15,"")</f>
        <v>0.17218692269474045</v>
      </c>
      <c r="F26" s="15">
        <f>IFERROR(BP!F10/BP!F15,"")</f>
        <v>0.1818506114014623</v>
      </c>
      <c r="G26" s="15">
        <f>IFERROR(BP!G10/BP!G15,"")</f>
        <v>0.18390751716133896</v>
      </c>
      <c r="H26" s="15">
        <f>IFERROR(BP!H10/BP!H15,"")</f>
        <v>0.23037186995304754</v>
      </c>
      <c r="I26" s="15">
        <f>IFERROR(BP!I10/BP!I15,"")</f>
        <v>0.2544234334854647</v>
      </c>
      <c r="J26" s="15">
        <f>IFERROR(BP!J10/BP!J15,"")</f>
        <v>0.24851045786012294</v>
      </c>
      <c r="K26" s="15">
        <f>IFERROR(BP!K10/BP!K15,"")</f>
        <v>0.25191297941874452</v>
      </c>
      <c r="L26" s="15">
        <f>IFERROR(BP!L10/BP!L15,"")</f>
        <v>0.23441661826450824</v>
      </c>
      <c r="M26" s="15">
        <f>IFERROR(BP!M10/BP!M15,"")</f>
        <v>0.22030459764991725</v>
      </c>
      <c r="N26" s="15">
        <f>IFERROR(BP!N10/BP!N15,"")</f>
        <v>0.1810000223619499</v>
      </c>
      <c r="O26" s="15">
        <f>IFERROR(BP!O10/BP!O15,"")</f>
        <v>0.17864225694682812</v>
      </c>
      <c r="P26" s="15">
        <f>IFERROR(BP!P10/BP!P15,"")</f>
        <v>0.16916116147387317</v>
      </c>
      <c r="Q26" s="15">
        <f>IFERROR(BP!Q10/BP!Q15,"")</f>
        <v>0.18537631585360026</v>
      </c>
      <c r="R26" s="15">
        <f>IFERROR(BP!R10/BP!R15,"")</f>
        <v>0.19068869718649548</v>
      </c>
      <c r="S26" s="15">
        <f>IFERROR(BP!S10/BP!S15,"")</f>
        <v>0.21181147555144342</v>
      </c>
      <c r="T26" s="15">
        <f>IFERROR(BP!T10/BP!T15,"")</f>
        <v>0.22642479684103931</v>
      </c>
      <c r="U26" s="15">
        <f>IFERROR(BP!U10/BP!U15,"")</f>
        <v>0.21775929458383583</v>
      </c>
      <c r="V26" s="15">
        <f>IFERROR(BP!V10/BP!V15,"")</f>
        <v>0.2035240627963659</v>
      </c>
      <c r="W26" s="15">
        <f>IFERROR(BP!W10/BP!W15,"")</f>
        <v>0.20319017141922313</v>
      </c>
      <c r="X26" s="15">
        <f>IFERROR(BP!X10/BP!X15,"")</f>
        <v>0.19584051738842595</v>
      </c>
      <c r="Y26" s="15">
        <f>IFERROR(BP!Y10/BP!Y15,"")</f>
        <v>0.23199447594082567</v>
      </c>
      <c r="Z26" s="15">
        <f>IFERROR(BP!Z10/BP!Z15,"")</f>
        <v>0.24427163234028534</v>
      </c>
      <c r="AA26" s="15">
        <f>IFERROR(BP!AA10/BP!AA15,"")</f>
        <v>0.22457594741662723</v>
      </c>
      <c r="AB26" s="15">
        <f>IFERROR(BP!AB10/BP!AB15,"")</f>
        <v>0.22586029922901207</v>
      </c>
      <c r="AC26" s="15">
        <f>IFERROR(BP!AC10/BP!AC15,"")</f>
        <v>0.23596930799919577</v>
      </c>
      <c r="AD26" s="15">
        <f>IFERROR(BP!AD10/BP!AD15,"")</f>
        <v>0.23418876269081676</v>
      </c>
      <c r="AE26" s="15">
        <f>IFERROR(BP!AE10/BP!AE15,"")</f>
        <v>0.27977917367590366</v>
      </c>
      <c r="AF26" s="15">
        <f>IFERROR(BP!AF10/BP!AF15,"")</f>
        <v>0.23700938372731867</v>
      </c>
    </row>
    <row r="27" spans="1:32" x14ac:dyDescent="0.3">
      <c r="A27" s="3" t="s">
        <v>210</v>
      </c>
      <c r="B27" s="8"/>
      <c r="C27" s="15">
        <f>IFERROR(BP!C11/BP!C15,"")</f>
        <v>0.76744433739359119</v>
      </c>
      <c r="D27" s="15">
        <f>IFERROR(BP!D11/BP!D15,"")</f>
        <v>0.72737043589613315</v>
      </c>
      <c r="E27" s="15">
        <f>IFERROR(BP!E11/BP!E15,"")</f>
        <v>0.75092789794332959</v>
      </c>
      <c r="F27" s="15">
        <f>IFERROR(BP!F11/BP!F15,"")</f>
        <v>0.72123777715092474</v>
      </c>
      <c r="G27" s="15">
        <f>IFERROR(BP!G11/BP!G15,"")</f>
        <v>0.72067752027885967</v>
      </c>
      <c r="H27" s="15">
        <f>IFERROR(BP!H11/BP!H15,"")</f>
        <v>0.67666245750771858</v>
      </c>
      <c r="I27" s="15">
        <f>IFERROR(BP!I11/BP!I15,"")</f>
        <v>0.64904149372039022</v>
      </c>
      <c r="J27" s="15">
        <f>IFERROR(BP!J11/BP!J15,"")</f>
        <v>0.6462250001330182</v>
      </c>
      <c r="K27" s="15">
        <f>IFERROR(BP!K11/BP!K15,"")</f>
        <v>0.64910355438402512</v>
      </c>
      <c r="L27" s="15">
        <f>IFERROR(BP!L11/BP!L15,"")</f>
        <v>0.66612141880266496</v>
      </c>
      <c r="M27" s="15">
        <f>IFERROR(BP!M11/BP!M15,"")</f>
        <v>0.6779162831546206</v>
      </c>
      <c r="N27" s="15">
        <f>IFERROR(BP!N11/BP!N15,"")</f>
        <v>0.69350168689174574</v>
      </c>
      <c r="O27" s="15">
        <f>IFERROR(BP!O11/BP!O15,"")</f>
        <v>0.68809393256309204</v>
      </c>
      <c r="P27" s="15">
        <f>IFERROR(BP!P11/BP!P15,"")</f>
        <v>0.70188873212589997</v>
      </c>
      <c r="Q27" s="15">
        <f>IFERROR(BP!Q11/BP!Q15,"")</f>
        <v>0.68914703186377868</v>
      </c>
      <c r="R27" s="15">
        <f>IFERROR(BP!R11/BP!R15,"")</f>
        <v>0.67366744090639552</v>
      </c>
      <c r="S27" s="15">
        <f>IFERROR(BP!S11/BP!S15,"")</f>
        <v>0.65364636274004562</v>
      </c>
      <c r="T27" s="15">
        <f>IFERROR(BP!T11/BP!T15,"")</f>
        <v>0.63995260055532477</v>
      </c>
      <c r="U27" s="15">
        <f>IFERROR(BP!U11/BP!U15,"")</f>
        <v>0.64138819152908944</v>
      </c>
      <c r="V27" s="15">
        <f>IFERROR(BP!V11/BP!V15,"")</f>
        <v>0.64963599271706363</v>
      </c>
      <c r="W27" s="15">
        <f>IFERROR(BP!W11/BP!W15,"")</f>
        <v>0.64844517318348727</v>
      </c>
      <c r="X27" s="15">
        <f>IFERROR(BP!X11/BP!X15,"")</f>
        <v>0.65026626362976192</v>
      </c>
      <c r="Y27" s="15">
        <f>IFERROR(BP!Y11/BP!Y15,"")</f>
        <v>0.61542171312855765</v>
      </c>
      <c r="Z27" s="15">
        <f>IFERROR(BP!Z11/BP!Z15,"")</f>
        <v>0.60511347543464822</v>
      </c>
      <c r="AA27" s="15">
        <f>IFERROR(BP!AA11/BP!AA15,"")</f>
        <v>0.61513319742394179</v>
      </c>
      <c r="AB27" s="15">
        <f>IFERROR(BP!AB11/BP!AB15,"")</f>
        <v>0.60432386163498142</v>
      </c>
      <c r="AC27" s="15">
        <f>IFERROR(BP!AC11/BP!AC15,"")</f>
        <v>0.59415631265662305</v>
      </c>
      <c r="AD27" s="15">
        <f>IFERROR(BP!AD11/BP!AD15,"")</f>
        <v>0.58957131008865893</v>
      </c>
      <c r="AE27" s="15">
        <f>IFERROR(BP!AE11/BP!AE15,"")</f>
        <v>0.54700967029683434</v>
      </c>
      <c r="AF27" s="15">
        <f>IFERROR(BP!AF11/BP!AF15,"")</f>
        <v>0.57891048247180887</v>
      </c>
    </row>
    <row r="28" spans="1:32" x14ac:dyDescent="0.3">
      <c r="A28" s="4" t="s">
        <v>211</v>
      </c>
      <c r="B28" s="8"/>
      <c r="C28" s="14">
        <f>IFERROR(BP!C12/BP!C15,"")</f>
        <v>1.5958627163922125E-2</v>
      </c>
      <c r="D28" s="14">
        <f>IFERROR(BP!D12/BP!D15,"")</f>
        <v>1.4994329552294646E-2</v>
      </c>
      <c r="E28" s="14">
        <f>IFERROR(BP!E12/BP!E15,"")</f>
        <v>1.5577419102647556E-2</v>
      </c>
      <c r="F28" s="14">
        <f>IFERROR(BP!F12/BP!F15,"")</f>
        <v>1.663603105653827E-2</v>
      </c>
      <c r="G28" s="14">
        <f>IFERROR(BP!G12/BP!G15,"")</f>
        <v>1.8552671698244518E-2</v>
      </c>
      <c r="H28" s="14">
        <f>IFERROR(BP!H12/BP!H15,"")</f>
        <v>2.0226908305010526E-2</v>
      </c>
      <c r="I28" s="14">
        <f>IFERROR(BP!I12/BP!I15,"")</f>
        <v>2.1441312137318355E-2</v>
      </c>
      <c r="J28" s="14">
        <f>IFERROR(BP!J12/BP!J15,"")</f>
        <v>2.4444353983628309E-2</v>
      </c>
      <c r="K28" s="14">
        <f>IFERROR(BP!K12/BP!K15,"")</f>
        <v>2.5307645133538569E-2</v>
      </c>
      <c r="L28" s="14">
        <f>IFERROR(BP!L12/BP!L15,"")</f>
        <v>2.702979761108408E-2</v>
      </c>
      <c r="M28" s="14">
        <f>IFERROR(BP!M12/BP!M15,"")</f>
        <v>2.8547451621094566E-2</v>
      </c>
      <c r="N28" s="14">
        <f>IFERROR(BP!N12/BP!N15,"")</f>
        <v>2.9684041797063711E-2</v>
      </c>
      <c r="O28" s="14">
        <f>IFERROR(BP!O12/BP!O15,"")</f>
        <v>3.052581964833527E-2</v>
      </c>
      <c r="P28" s="14">
        <f>IFERROR(BP!P12/BP!P15,"")</f>
        <v>2.9382794543411049E-2</v>
      </c>
      <c r="Q28" s="14">
        <f>IFERROR(BP!Q12/BP!Q15,"")</f>
        <v>2.8862297690390056E-2</v>
      </c>
      <c r="R28" s="14">
        <f>IFERROR(BP!R12/BP!R15,"")</f>
        <v>2.8773817790425506E-2</v>
      </c>
      <c r="S28" s="14">
        <f>IFERROR(BP!S12/BP!S15,"")</f>
        <v>2.8552922797365831E-2</v>
      </c>
      <c r="T28" s="14">
        <f>IFERROR(BP!T12/BP!T15,"")</f>
        <v>2.8965785055860612E-2</v>
      </c>
      <c r="U28" s="14">
        <f>IFERROR(BP!U12/BP!U15,"")</f>
        <v>3.0269433106918608E-2</v>
      </c>
      <c r="V28" s="14">
        <f>IFERROR(BP!V12/BP!V15,"")</f>
        <v>3.0605028417471626E-2</v>
      </c>
      <c r="W28" s="14">
        <f>IFERROR(BP!W12/BP!W15,"")</f>
        <v>3.0744175014844537E-2</v>
      </c>
      <c r="X28" s="14">
        <f>IFERROR(BP!X12/BP!X15,"")</f>
        <v>3.0773767922882993E-2</v>
      </c>
      <c r="Y28" s="14">
        <f>IFERROR(BP!Y12/BP!Y15,"")</f>
        <v>2.9995345994299667E-2</v>
      </c>
      <c r="Z28" s="14">
        <f>IFERROR(BP!Z12/BP!Z15,"")</f>
        <v>2.9717413494077069E-2</v>
      </c>
      <c r="AA28" s="14">
        <f>IFERROR(BP!AA12/BP!AA15,"")</f>
        <v>3.1568830412064715E-2</v>
      </c>
      <c r="AB28" s="14">
        <f>IFERROR(BP!AB12/BP!AB15,"")</f>
        <v>3.2835725664855431E-2</v>
      </c>
      <c r="AC28" s="14">
        <f>IFERROR(BP!AC12/BP!AC15,"")</f>
        <v>3.3455802679665823E-2</v>
      </c>
      <c r="AD28" s="14">
        <f>IFERROR(BP!AD12/BP!AD15,"")</f>
        <v>3.6051410190475586E-2</v>
      </c>
      <c r="AE28" s="14">
        <f>IFERROR(BP!AE12/BP!AE15,"")</f>
        <v>3.5201128020470207E-2</v>
      </c>
      <c r="AF28" s="14">
        <f>IFERROR(BP!AF12/BP!AF15,"")</f>
        <v>4.10407168698693E-2</v>
      </c>
    </row>
    <row r="29" spans="1:32" x14ac:dyDescent="0.3">
      <c r="A29" s="4" t="s">
        <v>212</v>
      </c>
      <c r="B29" s="8"/>
      <c r="C29" s="14">
        <f>IFERROR(BP!C13/BP!C15,"")</f>
        <v>6.343331288655514E-2</v>
      </c>
      <c r="D29" s="14">
        <f>IFERROR(BP!D13/BP!D15,"")</f>
        <v>6.2842520844036756E-2</v>
      </c>
      <c r="E29" s="14">
        <f>IFERROR(BP!E13/BP!E15,"")</f>
        <v>6.1307760259282452E-2</v>
      </c>
      <c r="F29" s="14">
        <f>IFERROR(BP!F13/BP!F15,"")</f>
        <v>8.0275580391074644E-2</v>
      </c>
      <c r="G29" s="14">
        <f>IFERROR(BP!G13/BP!G15,"")</f>
        <v>7.686229086155684E-2</v>
      </c>
      <c r="H29" s="14">
        <f>IFERROR(BP!H13/BP!H15,"")</f>
        <v>7.2738764234223416E-2</v>
      </c>
      <c r="I29" s="14">
        <f>IFERROR(BP!I13/BP!I15,"")</f>
        <v>7.5093760656826686E-2</v>
      </c>
      <c r="J29" s="14">
        <f>IFERROR(BP!J13/BP!J15,"")</f>
        <v>8.0820188023230502E-2</v>
      </c>
      <c r="K29" s="14">
        <f>IFERROR(BP!K13/BP!K15,"")</f>
        <v>7.3675821063691763E-2</v>
      </c>
      <c r="L29" s="14">
        <f>IFERROR(BP!L13/BP!L15,"")</f>
        <v>7.243216532174282E-2</v>
      </c>
      <c r="M29" s="14">
        <f>IFERROR(BP!M13/BP!M15,"")</f>
        <v>7.3231667574367609E-2</v>
      </c>
      <c r="N29" s="14">
        <f>IFERROR(BP!N13/BP!N15,"")</f>
        <v>9.581424894924076E-2</v>
      </c>
      <c r="O29" s="14">
        <f>IFERROR(BP!O13/BP!O15,"")</f>
        <v>0.10273799084174462</v>
      </c>
      <c r="P29" s="14">
        <f>IFERROR(BP!P13/BP!P15,"")</f>
        <v>9.9567311856815804E-2</v>
      </c>
      <c r="Q29" s="14">
        <f>IFERROR(BP!Q13/BP!Q15,"")</f>
        <v>9.6614354592231083E-2</v>
      </c>
      <c r="R29" s="14">
        <f>IFERROR(BP!R13/BP!R15,"")</f>
        <v>0.10687004411668349</v>
      </c>
      <c r="S29" s="14">
        <f>IFERROR(BP!S13/BP!S15,"")</f>
        <v>0.1059892389111452</v>
      </c>
      <c r="T29" s="14">
        <f>IFERROR(BP!T13/BP!T15,"")</f>
        <v>0.10465681754777538</v>
      </c>
      <c r="U29" s="14">
        <f>IFERROR(BP!U13/BP!U15,"")</f>
        <v>0.11058308078015605</v>
      </c>
      <c r="V29" s="14">
        <f>IFERROR(BP!V13/BP!V15,"")</f>
        <v>0.11623491606909886</v>
      </c>
      <c r="W29" s="14">
        <f>IFERROR(BP!W13/BP!W15,"")</f>
        <v>0.11762048038244501</v>
      </c>
      <c r="X29" s="14">
        <f>IFERROR(BP!X13/BP!X15,"")</f>
        <v>0.12311945105892907</v>
      </c>
      <c r="Y29" s="14">
        <f>IFERROR(BP!Y13/BP!Y15,"")</f>
        <v>0.12258846493631699</v>
      </c>
      <c r="Z29" s="14">
        <f>IFERROR(BP!Z13/BP!Z15,"")</f>
        <v>0.12089747873098931</v>
      </c>
      <c r="AA29" s="14">
        <f>IFERROR(BP!AA13/BP!AA15,"")</f>
        <v>0.12872202474736624</v>
      </c>
      <c r="AB29" s="14">
        <f>IFERROR(BP!AB13/BP!AB15,"")</f>
        <v>0.1369801134711511</v>
      </c>
      <c r="AC29" s="14">
        <f>IFERROR(BP!AC13/BP!AC15,"")</f>
        <v>0.13641857666451535</v>
      </c>
      <c r="AD29" s="14">
        <f>IFERROR(BP!AD13/BP!AD15,"")</f>
        <v>0.14018851703004878</v>
      </c>
      <c r="AE29" s="14">
        <f>IFERROR(BP!AE13/BP!AE15,"")</f>
        <v>0.13801002800679185</v>
      </c>
      <c r="AF29" s="14">
        <f>IFERROR(BP!AF13/BP!AF15,"")</f>
        <v>0.14303941693100319</v>
      </c>
    </row>
    <row r="30" spans="1:32" x14ac:dyDescent="0.3">
      <c r="A30" s="3" t="s">
        <v>213</v>
      </c>
      <c r="B30" s="8"/>
      <c r="C30" s="15">
        <f>IFERROR(BP!C15/BP!C15,"")</f>
        <v>1</v>
      </c>
      <c r="D30" s="15">
        <f>IFERROR(BP!D15/BP!D15,"")</f>
        <v>1</v>
      </c>
      <c r="E30" s="15">
        <f>IFERROR(BP!E15/BP!E15,"")</f>
        <v>1</v>
      </c>
      <c r="F30" s="15">
        <f>IFERROR(BP!F15/BP!F15,"")</f>
        <v>1</v>
      </c>
      <c r="G30" s="15">
        <f>IFERROR(BP!G15/BP!G15,"")</f>
        <v>1</v>
      </c>
      <c r="H30" s="15">
        <f>IFERROR(BP!H15/BP!H15,"")</f>
        <v>1</v>
      </c>
      <c r="I30" s="15">
        <f>IFERROR(BP!I15/BP!I15,"")</f>
        <v>1</v>
      </c>
      <c r="J30" s="15">
        <f>IFERROR(BP!J15/BP!J15,"")</f>
        <v>1</v>
      </c>
      <c r="K30" s="15">
        <f>IFERROR(BP!K15/BP!K15,"")</f>
        <v>1</v>
      </c>
      <c r="L30" s="15">
        <f>IFERROR(BP!L15/BP!L15,"")</f>
        <v>1</v>
      </c>
      <c r="M30" s="15">
        <f>IFERROR(BP!M15/BP!M15,"")</f>
        <v>1</v>
      </c>
      <c r="N30" s="15">
        <f>IFERROR(BP!N15/BP!N15,"")</f>
        <v>1</v>
      </c>
      <c r="O30" s="15">
        <f>IFERROR(BP!O15/BP!O15,"")</f>
        <v>1</v>
      </c>
      <c r="P30" s="15">
        <f>IFERROR(BP!P15/BP!P15,"")</f>
        <v>1</v>
      </c>
      <c r="Q30" s="15">
        <f>IFERROR(BP!Q15/BP!Q15,"")</f>
        <v>1</v>
      </c>
      <c r="R30" s="15">
        <f>IFERROR(BP!R15/BP!R15,"")</f>
        <v>1</v>
      </c>
      <c r="S30" s="15">
        <f>IFERROR(BP!S15/BP!S15,"")</f>
        <v>1</v>
      </c>
      <c r="T30" s="15">
        <f>IFERROR(BP!T15/BP!T15,"")</f>
        <v>1</v>
      </c>
      <c r="U30" s="15">
        <f>IFERROR(BP!U15/BP!U15,"")</f>
        <v>1</v>
      </c>
      <c r="V30" s="15">
        <f>IFERROR(BP!V15/BP!V15,"")</f>
        <v>1</v>
      </c>
      <c r="W30" s="15">
        <f>IFERROR(BP!W15/BP!W15,"")</f>
        <v>1</v>
      </c>
      <c r="X30" s="15">
        <f>IFERROR(BP!X15/BP!X15,"")</f>
        <v>1</v>
      </c>
      <c r="Y30" s="15">
        <f>IFERROR(BP!Y15/BP!Y15,"")</f>
        <v>1</v>
      </c>
      <c r="Z30" s="15">
        <f>IFERROR(BP!Z15/BP!Z15,"")</f>
        <v>1</v>
      </c>
      <c r="AA30" s="15">
        <f>IFERROR(BP!AA15/BP!AA15,"")</f>
        <v>1</v>
      </c>
      <c r="AB30" s="15">
        <f>IFERROR(BP!AB15/BP!AB15,"")</f>
        <v>1</v>
      </c>
      <c r="AC30" s="15">
        <f>IFERROR(BP!AC15/BP!AC15,"")</f>
        <v>1</v>
      </c>
      <c r="AD30" s="15">
        <f>IFERROR(BP!AD15/BP!AD15,"")</f>
        <v>1</v>
      </c>
      <c r="AE30" s="15">
        <f>IFERROR(BP!AE15/BP!AE15,"")</f>
        <v>1</v>
      </c>
      <c r="AF30" s="15">
        <f>IFERROR(BP!AF15/BP!AF15,"")</f>
        <v>1</v>
      </c>
    </row>
    <row r="31" spans="1:32" x14ac:dyDescent="0.3">
      <c r="A31" s="4" t="s">
        <v>214</v>
      </c>
      <c r="B31" s="8"/>
      <c r="C31" s="14">
        <f>IFERROR(BP!C18/BP!C15,"")</f>
        <v>0.17867727518414589</v>
      </c>
      <c r="D31" s="14">
        <f>IFERROR(BP!D18/BP!D15,"")</f>
        <v>0.16068895715897794</v>
      </c>
      <c r="E31" s="14">
        <f>IFERROR(BP!E18/BP!E15,"")</f>
        <v>0.1570870466730169</v>
      </c>
      <c r="F31" s="14">
        <f>IFERROR(BP!F18/BP!F15,"")</f>
        <v>0.12990341453329954</v>
      </c>
      <c r="G31" s="14">
        <f>IFERROR(BP!G18/BP!G15,"")</f>
        <v>0.13581281298212117</v>
      </c>
      <c r="H31" s="14">
        <f>IFERROR(BP!H18/BP!H15,"")</f>
        <v>0.12547942811783991</v>
      </c>
      <c r="I31" s="14">
        <f>IFERROR(BP!I18/BP!I15,"")</f>
        <v>0.11909246887238888</v>
      </c>
      <c r="J31" s="14">
        <f>IFERROR(BP!J18/BP!J15,"")</f>
        <v>0.11276719746884188</v>
      </c>
      <c r="K31" s="14">
        <f>IFERROR(BP!K18/BP!K15,"")</f>
        <v>0.10711949506086457</v>
      </c>
      <c r="L31" s="14">
        <f>IFERROR(BP!L18/BP!L15,"")</f>
        <v>0.10245971971031488</v>
      </c>
      <c r="M31" s="14">
        <f>IFERROR(BP!M18/BP!M15,"")</f>
        <v>9.6185675118192371E-2</v>
      </c>
      <c r="N31" s="14">
        <f>IFERROR(BP!N18/BP!N15,"")</f>
        <v>9.6287976876712061E-2</v>
      </c>
      <c r="O31" s="14">
        <f>IFERROR(BP!O18/BP!O15,"")</f>
        <v>8.9702358461679912E-2</v>
      </c>
      <c r="P31" s="14">
        <f>IFERROR(BP!P18/BP!P15,"")</f>
        <v>9.0072961850715644E-2</v>
      </c>
      <c r="Q31" s="14">
        <f>IFERROR(BP!Q18/BP!Q15,"")</f>
        <v>8.8849783127087925E-2</v>
      </c>
      <c r="R31" s="14">
        <f>IFERROR(BP!R18/BP!R15,"")</f>
        <v>9.2194081469840539E-2</v>
      </c>
      <c r="S31" s="14">
        <f>IFERROR(BP!S18/BP!S15,"")</f>
        <v>8.7786415714014521E-2</v>
      </c>
      <c r="T31" s="14">
        <f>IFERROR(BP!T18/BP!T15,"")</f>
        <v>8.7379630230727937E-2</v>
      </c>
      <c r="U31" s="14">
        <f>IFERROR(BP!U18/BP!U15,"")</f>
        <v>8.6049056896654194E-2</v>
      </c>
      <c r="V31" s="14">
        <f>IFERROR(BP!V18/BP!V15,"")</f>
        <v>9.1653753862555018E-2</v>
      </c>
      <c r="W31" s="14">
        <f>IFERROR(BP!W18/BP!W15,"")</f>
        <v>9.0850461769452648E-2</v>
      </c>
      <c r="X31" s="14">
        <f>IFERROR(BP!X18/BP!X15,"")</f>
        <v>8.9440648307869255E-2</v>
      </c>
      <c r="Y31" s="14">
        <f>IFERROR(BP!Y18/BP!Y15,"")</f>
        <v>8.5880119301071325E-2</v>
      </c>
      <c r="Z31" s="14">
        <f>IFERROR(BP!Z18/BP!Z15,"")</f>
        <v>8.1925235128884222E-2</v>
      </c>
      <c r="AA31" s="14">
        <f>IFERROR(BP!AA18/BP!AA15,"")</f>
        <v>7.9268415365455952E-2</v>
      </c>
      <c r="AB31" s="14">
        <f>IFERROR(BP!AB18/BP!AB15,"")</f>
        <v>7.7058303043122833E-2</v>
      </c>
      <c r="AC31" s="14">
        <f>IFERROR(BP!AC18/BP!AC15,"")</f>
        <v>7.4681939064711864E-2</v>
      </c>
      <c r="AD31" s="14">
        <f>IFERROR(BP!AD18/BP!AD15,"")</f>
        <v>7.3472570719786939E-2</v>
      </c>
      <c r="AE31" s="14">
        <f>IFERROR(BP!AE18/BP!AE15,"")</f>
        <v>6.6413460593247847E-2</v>
      </c>
      <c r="AF31" s="14">
        <f>IFERROR(BP!AF18/BP!AF15,"")</f>
        <v>6.615043332179478E-2</v>
      </c>
    </row>
    <row r="32" spans="1:32" x14ac:dyDescent="0.3">
      <c r="A32" s="4" t="s">
        <v>129</v>
      </c>
      <c r="B32" s="8"/>
      <c r="C32" s="14">
        <f>IFERROR(BP!C19/BP!C15,"")</f>
        <v>1.6146880563284737E-2</v>
      </c>
      <c r="D32" s="14">
        <f>IFERROR(BP!D19/BP!D15,"")</f>
        <v>1.465609464664462E-2</v>
      </c>
      <c r="E32" s="14">
        <f>IFERROR(BP!E19/BP!E15,"")</f>
        <v>1.4353731117196461E-2</v>
      </c>
      <c r="F32" s="14">
        <f>IFERROR(BP!F19/BP!F15,"")</f>
        <v>1.9847913709652353E-2</v>
      </c>
      <c r="G32" s="14">
        <f>IFERROR(BP!G19/BP!G15,"")</f>
        <v>1.5558739312222993E-2</v>
      </c>
      <c r="H32" s="14">
        <f>IFERROR(BP!H19/BP!H15,"")</f>
        <v>1.2015188264481443E-2</v>
      </c>
      <c r="I32" s="14">
        <f>IFERROR(BP!I19/BP!I15,"")</f>
        <v>1.4015079224586533E-2</v>
      </c>
      <c r="J32" s="14">
        <f>IFERROR(BP!J19/BP!J15,"")</f>
        <v>1.6705117180828212E-2</v>
      </c>
      <c r="K32" s="14">
        <f>IFERROR(BP!K19/BP!K15,"")</f>
        <v>1.3282701045340212E-2</v>
      </c>
      <c r="L32" s="14">
        <f>IFERROR(BP!L19/BP!L15,"")</f>
        <v>1.5204204713830423E-2</v>
      </c>
      <c r="M32" s="14">
        <f>IFERROR(BP!M19/BP!M15,"")</f>
        <v>1.504588562381011E-2</v>
      </c>
      <c r="N32" s="14">
        <f>IFERROR(BP!N19/BP!N15,"")</f>
        <v>1.8784105197789652E-2</v>
      </c>
      <c r="O32" s="14">
        <f>IFERROR(BP!O19/BP!O15,"")</f>
        <v>1.3615479629526028E-2</v>
      </c>
      <c r="P32" s="14">
        <f>IFERROR(BP!P19/BP!P15,"")</f>
        <v>1.0879564781163531E-2</v>
      </c>
      <c r="Q32" s="14">
        <f>IFERROR(BP!Q19/BP!Q15,"")</f>
        <v>1.1777339002514748E-2</v>
      </c>
      <c r="R32" s="14">
        <f>IFERROR(BP!R19/BP!R15,"")</f>
        <v>1.3818627552661639E-2</v>
      </c>
      <c r="S32" s="14">
        <f>IFERROR(BP!S19/BP!S15,"")</f>
        <v>1.1961666462418072E-2</v>
      </c>
      <c r="T32" s="14">
        <f>IFERROR(BP!T19/BP!T15,"")</f>
        <v>1.210949627503123E-2</v>
      </c>
      <c r="U32" s="14">
        <f>IFERROR(BP!U19/BP!U15,"")</f>
        <v>1.0796155920515676E-2</v>
      </c>
      <c r="V32" s="14">
        <f>IFERROR(BP!V19/BP!V15,"")</f>
        <v>1.5337193685823473E-2</v>
      </c>
      <c r="W32" s="14">
        <f>IFERROR(BP!W19/BP!W15,"")</f>
        <v>1.2438589955898208E-2</v>
      </c>
      <c r="X32" s="14">
        <f>IFERROR(BP!X19/BP!X15,"")</f>
        <v>1.2190844620841265E-2</v>
      </c>
      <c r="Y32" s="14">
        <f>IFERROR(BP!Y19/BP!Y15,"")</f>
        <v>1.22786985095629E-2</v>
      </c>
      <c r="Z32" s="14">
        <f>IFERROR(BP!Z19/BP!Z15,"")</f>
        <v>1.6779838231223223E-2</v>
      </c>
      <c r="AA32" s="14">
        <f>IFERROR(BP!AA19/BP!AA15,"")</f>
        <v>1.1797212406074654E-2</v>
      </c>
      <c r="AB32" s="14">
        <f>IFERROR(BP!AB19/BP!AB15,"")</f>
        <v>1.1915668618920074E-2</v>
      </c>
      <c r="AC32" s="14">
        <f>IFERROR(BP!AC19/BP!AC15,"")</f>
        <v>1.4439526395228091E-2</v>
      </c>
      <c r="AD32" s="14">
        <f>IFERROR(BP!AD19/BP!AD15,"")</f>
        <v>1.6198933636572755E-2</v>
      </c>
      <c r="AE32" s="14">
        <f>IFERROR(BP!AE19/BP!AE15,"")</f>
        <v>1.4663076259088737E-2</v>
      </c>
      <c r="AF32" s="14">
        <f>IFERROR(BP!AF19/BP!AF15,"")</f>
        <v>1.3935754565136644E-2</v>
      </c>
    </row>
    <row r="33" spans="1:32" x14ac:dyDescent="0.3">
      <c r="A33" s="4" t="s">
        <v>215</v>
      </c>
      <c r="B33" s="8"/>
      <c r="C33" s="14">
        <f>IFERROR(BP!C20/BP!C15,"")</f>
        <v>2.7417542512790504E-2</v>
      </c>
      <c r="D33" s="14">
        <f>IFERROR(BP!D20/BP!D15,"")</f>
        <v>2.4884941301411913E-2</v>
      </c>
      <c r="E33" s="14">
        <f>IFERROR(BP!E20/BP!E15,"")</f>
        <v>3.3537996654419013E-2</v>
      </c>
      <c r="F33" s="14">
        <f>IFERROR(BP!F20/BP!F15,"")</f>
        <v>2.4813107669384531E-2</v>
      </c>
      <c r="G33" s="14">
        <f>IFERROR(BP!G20/BP!G15,"")</f>
        <v>3.0265052020954981E-2</v>
      </c>
      <c r="H33" s="14">
        <f>IFERROR(BP!H20/BP!H15,"")</f>
        <v>2.6539005851764778E-2</v>
      </c>
      <c r="I33" s="14">
        <f>IFERROR(BP!I20/BP!I15,"")</f>
        <v>3.2600753399381288E-2</v>
      </c>
      <c r="J33" s="14">
        <f>IFERROR(BP!J20/BP!J15,"")</f>
        <v>2.8059723181246894E-2</v>
      </c>
      <c r="K33" s="14">
        <f>IFERROR(BP!K20/BP!K15,"")</f>
        <v>3.2196285154450256E-2</v>
      </c>
      <c r="L33" s="14">
        <f>IFERROR(BP!L20/BP!L15,"")</f>
        <v>2.7472891842025997E-2</v>
      </c>
      <c r="M33" s="14">
        <f>IFERROR(BP!M20/BP!M15,"")</f>
        <v>3.3063283295496279E-2</v>
      </c>
      <c r="N33" s="14">
        <f>IFERROR(BP!N20/BP!N15,"")</f>
        <v>3.2507837953154428E-2</v>
      </c>
      <c r="O33" s="14">
        <f>IFERROR(BP!O20/BP!O15,"")</f>
        <v>4.0085611352467181E-2</v>
      </c>
      <c r="P33" s="14">
        <f>IFERROR(BP!P20/BP!P15,"")</f>
        <v>3.4433717464383409E-2</v>
      </c>
      <c r="Q33" s="14">
        <f>IFERROR(BP!Q20/BP!Q15,"")</f>
        <v>3.7919934169553644E-2</v>
      </c>
      <c r="R33" s="14">
        <f>IFERROR(BP!R20/BP!R15,"")</f>
        <v>3.1168993336895861E-2</v>
      </c>
      <c r="S33" s="14">
        <f>IFERROR(BP!S20/BP!S15,"")</f>
        <v>3.4715235870754181E-2</v>
      </c>
      <c r="T33" s="14">
        <f>IFERROR(BP!T20/BP!T15,"")</f>
        <v>3.7560191157084886E-2</v>
      </c>
      <c r="U33" s="14">
        <f>IFERROR(BP!U20/BP!U15,"")</f>
        <v>3.7148316224388349E-2</v>
      </c>
      <c r="V33" s="14">
        <f>IFERROR(BP!V20/BP!V15,"")</f>
        <v>3.7017981945002373E-2</v>
      </c>
      <c r="W33" s="14">
        <f>IFERROR(BP!W20/BP!W15,"")</f>
        <v>4.0498060517712882E-2</v>
      </c>
      <c r="X33" s="14">
        <f>IFERROR(BP!X20/BP!X15,"")</f>
        <v>3.8213568757504625E-2</v>
      </c>
      <c r="Y33" s="14">
        <f>IFERROR(BP!Y20/BP!Y15,"")</f>
        <v>4.2878326938889148E-2</v>
      </c>
      <c r="Z33" s="14">
        <f>IFERROR(BP!Z20/BP!Z15,"")</f>
        <v>4.0211242979584658E-2</v>
      </c>
      <c r="AA33" s="14">
        <f>IFERROR(BP!AA20/BP!AA15,"")</f>
        <v>4.5298996437619643E-2</v>
      </c>
      <c r="AB33" s="14">
        <f>IFERROR(BP!AB20/BP!AB15,"")</f>
        <v>4.6883272180404001E-2</v>
      </c>
      <c r="AC33" s="14">
        <f>IFERROR(BP!AC20/BP!AC15,"")</f>
        <v>5.66363947393307E-2</v>
      </c>
      <c r="AD33" s="14">
        <f>IFERROR(BP!AD20/BP!AD15,"")</f>
        <v>5.7932431705434141E-2</v>
      </c>
      <c r="AE33" s="14">
        <f>IFERROR(BP!AE20/BP!AE15,"")</f>
        <v>7.2800450059635258E-2</v>
      </c>
      <c r="AF33" s="14">
        <f>IFERROR(BP!AF20/BP!AF15,"")</f>
        <v>5.4278649497272395E-2</v>
      </c>
    </row>
    <row r="34" spans="1:32" x14ac:dyDescent="0.3">
      <c r="A34" s="4" t="s">
        <v>216</v>
      </c>
      <c r="B34" s="8"/>
      <c r="C34" s="14">
        <f>IFERROR(BP!C21/BP!C15,"")</f>
        <v>2.9710971513924725E-2</v>
      </c>
      <c r="D34" s="14">
        <f>IFERROR(BP!D21/BP!D15,"")</f>
        <v>2.9590234626312079E-2</v>
      </c>
      <c r="E34" s="14">
        <f>IFERROR(BP!E21/BP!E15,"")</f>
        <v>2.9588085804304744E-2</v>
      </c>
      <c r="F34" s="14">
        <f>IFERROR(BP!F21/BP!F15,"")</f>
        <v>2.7225330848107025E-2</v>
      </c>
      <c r="G34" s="14">
        <f>IFERROR(BP!G21/BP!G15,"")</f>
        <v>2.815181214098952E-2</v>
      </c>
      <c r="H34" s="14">
        <f>IFERROR(BP!H21/BP!H15,"")</f>
        <v>2.7679683174419042E-2</v>
      </c>
      <c r="I34" s="14">
        <f>IFERROR(BP!I21/BP!I15,"")</f>
        <v>2.6927279231717085E-2</v>
      </c>
      <c r="J34" s="14">
        <f>IFERROR(BP!J21/BP!J15,"")</f>
        <v>2.8462061662929306E-2</v>
      </c>
      <c r="K34" s="14">
        <f>IFERROR(BP!K21/BP!K15,"")</f>
        <v>2.8412621245253407E-2</v>
      </c>
      <c r="L34" s="14">
        <f>IFERROR(BP!L21/BP!L15,"")</f>
        <v>2.8971733619480664E-2</v>
      </c>
      <c r="M34" s="14">
        <f>IFERROR(BP!M21/BP!M15,"")</f>
        <v>2.7679081846249506E-2</v>
      </c>
      <c r="N34" s="14">
        <f>IFERROR(BP!N21/BP!N15,"")</f>
        <v>2.7116948265370987E-2</v>
      </c>
      <c r="O34" s="14">
        <f>IFERROR(BP!O21/BP!O15,"")</f>
        <v>2.7332347045185772E-2</v>
      </c>
      <c r="P34" s="14">
        <f>IFERROR(BP!P21/BP!P15,"")</f>
        <v>2.6428808825539336E-2</v>
      </c>
      <c r="Q34" s="14">
        <f>IFERROR(BP!Q21/BP!Q15,"")</f>
        <v>2.4725524080715634E-2</v>
      </c>
      <c r="R34" s="14">
        <f>IFERROR(BP!R21/BP!R15,"")</f>
        <v>2.6031608999553205E-2</v>
      </c>
      <c r="S34" s="14">
        <f>IFERROR(BP!S21/BP!S15,"")</f>
        <v>2.549992326786164E-2</v>
      </c>
      <c r="T34" s="14">
        <f>IFERROR(BP!T21/BP!T15,"")</f>
        <v>2.5817891416993522E-2</v>
      </c>
      <c r="U34" s="14">
        <f>IFERROR(BP!U21/BP!U15,"")</f>
        <v>2.6382886467975115E-2</v>
      </c>
      <c r="V34" s="14">
        <f>IFERROR(BP!V21/BP!V15,"")</f>
        <v>2.9610938128693774E-2</v>
      </c>
      <c r="W34" s="14">
        <f>IFERROR(BP!W21/BP!W15,"")</f>
        <v>3.0085368923935648E-2</v>
      </c>
      <c r="X34" s="14">
        <f>IFERROR(BP!X21/BP!X15,"")</f>
        <v>3.0021042225084702E-2</v>
      </c>
      <c r="Y34" s="14">
        <f>IFERROR(BP!Y21/BP!Y15,"")</f>
        <v>2.8939300610743571E-2</v>
      </c>
      <c r="Z34" s="14">
        <f>IFERROR(BP!Z21/BP!Z15,"")</f>
        <v>2.8360794202181024E-2</v>
      </c>
      <c r="AA34" s="14">
        <f>IFERROR(BP!AA21/BP!AA15,"")</f>
        <v>3.090944178623245E-2</v>
      </c>
      <c r="AB34" s="14">
        <f>IFERROR(BP!AB21/BP!AB15,"")</f>
        <v>3.2542578800498628E-2</v>
      </c>
      <c r="AC34" s="14">
        <f>IFERROR(BP!AC21/BP!AC15,"")</f>
        <v>3.1400840650563526E-2</v>
      </c>
      <c r="AD34" s="14">
        <f>IFERROR(BP!AD21/BP!AD15,"")</f>
        <v>3.1944173671407013E-2</v>
      </c>
      <c r="AE34" s="14">
        <f>IFERROR(BP!AE21/BP!AE15,"")</f>
        <v>2.8566317960917541E-2</v>
      </c>
      <c r="AF34" s="14">
        <f>IFERROR(BP!AF21/BP!AF15,"")</f>
        <v>3.0743993873373857E-2</v>
      </c>
    </row>
    <row r="35" spans="1:32" x14ac:dyDescent="0.3">
      <c r="A35" s="4" t="s">
        <v>217</v>
      </c>
      <c r="B35" s="8"/>
      <c r="C35" s="14">
        <f>IFERROR(BP!C22/BP!C15,"")</f>
        <v>0</v>
      </c>
      <c r="D35" s="14">
        <f>IFERROR(BP!D22/BP!D15,"")</f>
        <v>0</v>
      </c>
      <c r="E35" s="14">
        <f>IFERROR(BP!E22/BP!E15,"")</f>
        <v>0</v>
      </c>
      <c r="F35" s="14">
        <f>IFERROR(BP!F22/BP!F15,"")</f>
        <v>0</v>
      </c>
      <c r="G35" s="14">
        <f>IFERROR(BP!G22/BP!G15,"")</f>
        <v>1.4232780403600579E-2</v>
      </c>
      <c r="H35" s="14">
        <f>IFERROR(BP!H22/BP!H15,"")</f>
        <v>1.3422897865923326E-2</v>
      </c>
      <c r="I35" s="14">
        <f>IFERROR(BP!I22/BP!I15,"")</f>
        <v>1.2945807322940907E-2</v>
      </c>
      <c r="J35" s="14">
        <f>IFERROR(BP!J22/BP!J15,"")</f>
        <v>1.2725902021414826E-2</v>
      </c>
      <c r="K35" s="14">
        <f>IFERROR(BP!K22/BP!K15,"")</f>
        <v>1.7421423026694853E-2</v>
      </c>
      <c r="L35" s="14">
        <f>IFERROR(BP!L22/BP!L15,"")</f>
        <v>1.7060860825625093E-2</v>
      </c>
      <c r="M35" s="14">
        <f>IFERROR(BP!M22/BP!M15,"")</f>
        <v>1.6354757574411162E-2</v>
      </c>
      <c r="N35" s="14">
        <f>IFERROR(BP!N22/BP!N15,"")</f>
        <v>1.5696496348979915E-2</v>
      </c>
      <c r="O35" s="14">
        <f>IFERROR(BP!O22/BP!O15,"")</f>
        <v>0</v>
      </c>
      <c r="P35" s="14">
        <f>IFERROR(BP!P22/BP!P15,"")</f>
        <v>0</v>
      </c>
      <c r="Q35" s="14">
        <f>IFERROR(BP!Q22/BP!Q15,"")</f>
        <v>0</v>
      </c>
      <c r="R35" s="14">
        <f>IFERROR(BP!R22/BP!R15,"")</f>
        <v>0</v>
      </c>
      <c r="S35" s="14">
        <f>IFERROR(BP!S22/BP!S15,"")</f>
        <v>8.0621785926123565E-3</v>
      </c>
      <c r="T35" s="14">
        <f>IFERROR(BP!T22/BP!T15,"")</f>
        <v>7.8516300879423895E-3</v>
      </c>
      <c r="U35" s="14">
        <f>IFERROR(BP!U22/BP!U15,"")</f>
        <v>8.0805165292419951E-3</v>
      </c>
      <c r="V35" s="14">
        <f>IFERROR(BP!V22/BP!V15,"")</f>
        <v>8.2049590749337722E-3</v>
      </c>
      <c r="W35" s="14">
        <f>IFERROR(BP!W22/BP!W15,"")</f>
        <v>1.6363655391575617E-2</v>
      </c>
      <c r="X35" s="14">
        <f>IFERROR(BP!X22/BP!X15,"")</f>
        <v>3.6660702852884981E-2</v>
      </c>
      <c r="Y35" s="14">
        <f>IFERROR(BP!Y22/BP!Y15,"")</f>
        <v>3.4811319967979711E-2</v>
      </c>
      <c r="Z35" s="14">
        <f>IFERROR(BP!Z22/BP!Z15,"")</f>
        <v>3.3273178367169316E-2</v>
      </c>
      <c r="AA35" s="14">
        <f>IFERROR(BP!AA22/BP!AA15,"")</f>
        <v>1.9313601513633444E-2</v>
      </c>
      <c r="AB35" s="14">
        <f>IFERROR(BP!AB22/BP!AB15,"")</f>
        <v>0</v>
      </c>
      <c r="AC35" s="14">
        <f>IFERROR(BP!AC22/BP!AC15,"")</f>
        <v>0</v>
      </c>
      <c r="AD35" s="14">
        <f>IFERROR(BP!AD22/BP!AD15,"")</f>
        <v>1.7966169501289396E-2</v>
      </c>
      <c r="AE35" s="14">
        <f>IFERROR(BP!AE22/BP!AE15,"")</f>
        <v>1.637277776417477E-2</v>
      </c>
      <c r="AF35" s="14">
        <f>IFERROR(BP!AF22/BP!AF15,"")</f>
        <v>4.249754077988907E-2</v>
      </c>
    </row>
    <row r="36" spans="1:32" x14ac:dyDescent="0.3">
      <c r="A36" s="3" t="s">
        <v>218</v>
      </c>
      <c r="B36" s="8"/>
      <c r="C36" s="15">
        <f>IFERROR(BP!C24/BP!C15,"")</f>
        <v>0.25195266977414588</v>
      </c>
      <c r="D36" s="15">
        <f>IFERROR(BP!D24/BP!D15,"")</f>
        <v>0.22982022773334654</v>
      </c>
      <c r="E36" s="15">
        <f>IFERROR(BP!E24/BP!E15,"")</f>
        <v>0.23456686024893711</v>
      </c>
      <c r="F36" s="15">
        <f>IFERROR(BP!F24/BP!F15,"")</f>
        <v>0.20178226139896641</v>
      </c>
      <c r="G36" s="15">
        <f>IFERROR(BP!G24/BP!G15,"")</f>
        <v>0.22400870395845282</v>
      </c>
      <c r="H36" s="15">
        <f>IFERROR(BP!H24/BP!H15,"")</f>
        <v>0.20514755490348544</v>
      </c>
      <c r="I36" s="15">
        <f>IFERROR(BP!I24/BP!I15,"")</f>
        <v>0.20557411250729918</v>
      </c>
      <c r="J36" s="15">
        <f>IFERROR(BP!J24/BP!J15,"")</f>
        <v>0.19871979785113472</v>
      </c>
      <c r="K36" s="15">
        <f>IFERROR(BP!K24/BP!K15,"")</f>
        <v>0.19843399601036951</v>
      </c>
      <c r="L36" s="15">
        <f>IFERROR(BP!L24/BP!L15,"")</f>
        <v>0.19118141921417578</v>
      </c>
      <c r="M36" s="15">
        <f>IFERROR(BP!M24/BP!M15,"")</f>
        <v>0.18833114018140021</v>
      </c>
      <c r="N36" s="15">
        <f>IFERROR(BP!N24/BP!N15,"")</f>
        <v>0.19040103544126824</v>
      </c>
      <c r="O36" s="15">
        <f>IFERROR(BP!O24/BP!O15,"")</f>
        <v>0.17073685536913183</v>
      </c>
      <c r="P36" s="15">
        <f>IFERROR(BP!P24/BP!P15,"")</f>
        <v>0.16180950826558299</v>
      </c>
      <c r="Q36" s="15">
        <f>IFERROR(BP!Q24/BP!Q15,"")</f>
        <v>0.16327937148895194</v>
      </c>
      <c r="R36" s="15">
        <f>IFERROR(BP!R24/BP!R15,"")</f>
        <v>0.16320633529930631</v>
      </c>
      <c r="S36" s="15">
        <f>IFERROR(BP!S24/BP!S15,"")</f>
        <v>0.16803418929490185</v>
      </c>
      <c r="T36" s="15">
        <f>IFERROR(BP!T24/BP!T15,"")</f>
        <v>0.17072484104040359</v>
      </c>
      <c r="U36" s="15">
        <f>IFERROR(BP!U24/BP!U15,"")</f>
        <v>0.1684528715792194</v>
      </c>
      <c r="V36" s="15">
        <f>IFERROR(BP!V24/BP!V15,"")</f>
        <v>0.18182419056458848</v>
      </c>
      <c r="W36" s="15">
        <f>IFERROR(BP!W24/BP!W15,"")</f>
        <v>0.19024473822974455</v>
      </c>
      <c r="X36" s="15">
        <f>IFERROR(BP!X24/BP!X15,"")</f>
        <v>0.20652193903752825</v>
      </c>
      <c r="Y36" s="15">
        <f>IFERROR(BP!Y24/BP!Y15,"")</f>
        <v>0.20479625776015095</v>
      </c>
      <c r="Z36" s="15">
        <f>IFERROR(BP!Z24/BP!Z15,"")</f>
        <v>0.20054680207898604</v>
      </c>
      <c r="AA36" s="15">
        <f>IFERROR(BP!AA24/BP!AA15,"")</f>
        <v>0.18658012253347456</v>
      </c>
      <c r="AB36" s="15">
        <f>IFERROR(BP!AB24/BP!AB15,"")</f>
        <v>0.16840662117937319</v>
      </c>
      <c r="AC36" s="15">
        <f>IFERROR(BP!AC24/BP!AC15,"")</f>
        <v>0.17715278474942175</v>
      </c>
      <c r="AD36" s="15">
        <f>IFERROR(BP!AD24/BP!AD15,"")</f>
        <v>0.19750942285673614</v>
      </c>
      <c r="AE36" s="15">
        <f>IFERROR(BP!AE24/BP!AE15,"")</f>
        <v>0.19882645697973156</v>
      </c>
      <c r="AF36" s="15">
        <f>IFERROR(BP!AF24/BP!AF15,"")</f>
        <v>0.20761003325877386</v>
      </c>
    </row>
    <row r="37" spans="1:32" x14ac:dyDescent="0.3">
      <c r="A37" s="4" t="s">
        <v>219</v>
      </c>
      <c r="B37" s="8"/>
      <c r="C37" s="14">
        <f>IFERROR(BP!C25/BP!C15,"")</f>
        <v>0.13080613309294897</v>
      </c>
      <c r="D37" s="14">
        <f>IFERROR(BP!D25/BP!D15,"")</f>
        <v>0.11813993406126258</v>
      </c>
      <c r="E37" s="14">
        <f>IFERROR(BP!E25/BP!E15,"")</f>
        <v>0.1105159310679361</v>
      </c>
      <c r="F37" s="14">
        <f>IFERROR(BP!F25/BP!F15,"")</f>
        <v>9.8138429004813788E-2</v>
      </c>
      <c r="G37" s="14">
        <f>IFERROR(BP!G25/BP!G15,"")</f>
        <v>9.1444929550589249E-2</v>
      </c>
      <c r="H37" s="14">
        <f>IFERROR(BP!H25/BP!H15,"")</f>
        <v>8.6298312042348779E-2</v>
      </c>
      <c r="I37" s="14">
        <f>IFERROR(BP!I25/BP!I15,"")</f>
        <v>7.5773726240656925E-2</v>
      </c>
      <c r="J37" s="14">
        <f>IFERROR(BP!J25/BP!J15,"")</f>
        <v>6.665122383428318E-2</v>
      </c>
      <c r="K37" s="14">
        <f>IFERROR(BP!K25/BP!K15,"")</f>
        <v>6.1451664623201042E-2</v>
      </c>
      <c r="L37" s="14">
        <f>IFERROR(BP!L25/BP!L15,"")</f>
        <v>5.5290027433815399E-2</v>
      </c>
      <c r="M37" s="14">
        <f>IFERROR(BP!M25/BP!M15,"")</f>
        <v>5.3837943351097303E-2</v>
      </c>
      <c r="N37" s="14">
        <f>IFERROR(BP!N25/BP!N15,"")</f>
        <v>6.9400838579849758E-2</v>
      </c>
      <c r="O37" s="14">
        <f>IFERROR(BP!O25/BP!O15,"")</f>
        <v>6.4971592007077555E-2</v>
      </c>
      <c r="P37" s="14">
        <f>IFERROR(BP!P25/BP!P15,"")</f>
        <v>6.4507026665157882E-2</v>
      </c>
      <c r="Q37" s="14">
        <f>IFERROR(BP!Q25/BP!Q15,"")</f>
        <v>6.213692402327925E-2</v>
      </c>
      <c r="R37" s="14">
        <f>IFERROR(BP!R25/BP!R15,"")</f>
        <v>6.340758741764134E-2</v>
      </c>
      <c r="S37" s="14">
        <f>IFERROR(BP!S25/BP!S15,"")</f>
        <v>5.87595216804409E-2</v>
      </c>
      <c r="T37" s="14">
        <f>IFERROR(BP!T25/BP!T15,"")</f>
        <v>5.6071009276671434E-2</v>
      </c>
      <c r="U37" s="14">
        <f>IFERROR(BP!U25/BP!U15,"")</f>
        <v>5.3906580259548621E-2</v>
      </c>
      <c r="V37" s="14">
        <f>IFERROR(BP!V25/BP!V15,"")</f>
        <v>5.2905142888474574E-2</v>
      </c>
      <c r="W37" s="14">
        <f>IFERROR(BP!W25/BP!W15,"")</f>
        <v>4.8552173876802482E-2</v>
      </c>
      <c r="X37" s="14">
        <f>IFERROR(BP!X25/BP!X15,"")</f>
        <v>4.1320318919600939E-2</v>
      </c>
      <c r="Y37" s="14">
        <f>IFERROR(BP!Y25/BP!Y15,"")</f>
        <v>3.6687477970363862E-2</v>
      </c>
      <c r="Z37" s="14">
        <f>IFERROR(BP!Z25/BP!Z15,"")</f>
        <v>3.32051758579942E-2</v>
      </c>
      <c r="AA37" s="14">
        <f>IFERROR(BP!AA25/BP!AA15,"")</f>
        <v>3.2573214484417842E-2</v>
      </c>
      <c r="AB37" s="14">
        <f>IFERROR(BP!AB25/BP!AB15,"")</f>
        <v>3.0252620807544095E-2</v>
      </c>
      <c r="AC37" s="14">
        <f>IFERROR(BP!AC25/BP!AC15,"")</f>
        <v>2.8979298836521488E-2</v>
      </c>
      <c r="AD37" s="14">
        <f>IFERROR(BP!AD25/BP!AD15,"")</f>
        <v>2.8409378183456794E-2</v>
      </c>
      <c r="AE37" s="14">
        <f>IFERROR(BP!AE25/BP!AE15,"")</f>
        <v>2.6656947235109845E-2</v>
      </c>
      <c r="AF37" s="14">
        <f>IFERROR(BP!AF25/BP!AF15,"")</f>
        <v>2.7811595125518385E-2</v>
      </c>
    </row>
    <row r="38" spans="1:32" x14ac:dyDescent="0.3">
      <c r="A38" s="4" t="s">
        <v>220</v>
      </c>
      <c r="B38" s="8"/>
      <c r="C38" s="14">
        <f>IFERROR(BP!C26/BP!C15,"")</f>
        <v>0.3786017974746122</v>
      </c>
      <c r="D38" s="14">
        <f>IFERROR(BP!D26/BP!D15,"")</f>
        <v>0.41741601193105815</v>
      </c>
      <c r="E38" s="14">
        <f>IFERROR(BP!E26/BP!E15,"")</f>
        <v>0.40159382265576715</v>
      </c>
      <c r="F38" s="14">
        <f>IFERROR(BP!F26/BP!F15,"")</f>
        <v>0.43439854917536386</v>
      </c>
      <c r="G38" s="14">
        <f>IFERROR(BP!G26/BP!G15,"")</f>
        <v>0.40418506493599093</v>
      </c>
      <c r="H38" s="14">
        <f>IFERROR(BP!H26/BP!H15,"")</f>
        <v>0.41142925052805918</v>
      </c>
      <c r="I38" s="14">
        <f>IFERROR(BP!I26/BP!I15,"")</f>
        <v>0.40255288213414642</v>
      </c>
      <c r="J38" s="14">
        <f>IFERROR(BP!J26/BP!J15,"")</f>
        <v>0.40246819027290459</v>
      </c>
      <c r="K38" s="14">
        <f>IFERROR(BP!K26/BP!K15,"")</f>
        <v>0.37037476795736229</v>
      </c>
      <c r="L38" s="14">
        <f>IFERROR(BP!L26/BP!L15,"")</f>
        <v>0.36432843460451231</v>
      </c>
      <c r="M38" s="14">
        <f>IFERROR(BP!M26/BP!M15,"")</f>
        <v>0.34613337615986872</v>
      </c>
      <c r="N38" s="14">
        <f>IFERROR(BP!N26/BP!N15,"")</f>
        <v>0.32955440304662614</v>
      </c>
      <c r="O38" s="14">
        <f>IFERROR(BP!O26/BP!O15,"")</f>
        <v>0.32063249830623275</v>
      </c>
      <c r="P38" s="14">
        <f>IFERROR(BP!P26/BP!P15,"")</f>
        <v>0.30707693383100038</v>
      </c>
      <c r="Q38" s="14">
        <f>IFERROR(BP!Q26/BP!Q15,"")</f>
        <v>0.29199912527151034</v>
      </c>
      <c r="R38" s="14">
        <f>IFERROR(BP!R26/BP!R15,"")</f>
        <v>0.29536257895088625</v>
      </c>
      <c r="S38" s="14">
        <f>IFERROR(BP!S26/BP!S15,"")</f>
        <v>0.28365057871388855</v>
      </c>
      <c r="T38" s="14">
        <f>IFERROR(BP!T26/BP!T15,"")</f>
        <v>0.27687624294108448</v>
      </c>
      <c r="U38" s="14">
        <f>IFERROR(BP!U26/BP!U15,"")</f>
        <v>0.28081318116481696</v>
      </c>
      <c r="V38" s="14">
        <f>IFERROR(BP!V26/BP!V15,"")</f>
        <v>0.29022858330929713</v>
      </c>
      <c r="W38" s="14">
        <f>IFERROR(BP!W26/BP!W15,"")</f>
        <v>0.27068717788405489</v>
      </c>
      <c r="X38" s="14">
        <f>IFERROR(BP!X26/BP!X15,"")</f>
        <v>0.24807124478055972</v>
      </c>
      <c r="Y38" s="14">
        <f>IFERROR(BP!Y26/BP!Y15,"")</f>
        <v>0.27085754664659495</v>
      </c>
      <c r="Z38" s="14">
        <f>IFERROR(BP!Z26/BP!Z15,"")</f>
        <v>0.25728612297203074</v>
      </c>
      <c r="AA38" s="14">
        <f>IFERROR(BP!AA26/BP!AA15,"")</f>
        <v>0.26898964752562049</v>
      </c>
      <c r="AB38" s="14">
        <f>IFERROR(BP!AB26/BP!AB15,"")</f>
        <v>0.2721901592446988</v>
      </c>
      <c r="AC38" s="14">
        <f>IFERROR(BP!AC26/BP!AC15,"")</f>
        <v>0.26327593411357292</v>
      </c>
      <c r="AD38" s="14">
        <f>IFERROR(BP!AD26/BP!AD15,"")</f>
        <v>0.24217084906012812</v>
      </c>
      <c r="AE38" s="14">
        <f>IFERROR(BP!AE26/BP!AE15,"")</f>
        <v>0.21898108418075982</v>
      </c>
      <c r="AF38" s="14">
        <f>IFERROR(BP!AF26/BP!AF15,"")</f>
        <v>0.20231751544868584</v>
      </c>
    </row>
    <row r="39" spans="1:32" x14ac:dyDescent="0.3">
      <c r="A39" s="4" t="s">
        <v>221</v>
      </c>
      <c r="B39" s="8"/>
      <c r="C39" s="14">
        <f>IFERROR(BP!C27/BP!C15,"")</f>
        <v>2.9111676148896828E-2</v>
      </c>
      <c r="D39" s="14">
        <f>IFERROR(BP!D27/BP!D15,"")</f>
        <v>3.2256838186730794E-2</v>
      </c>
      <c r="E39" s="14">
        <f>IFERROR(BP!E27/BP!E15,"")</f>
        <v>3.1575758690267644E-2</v>
      </c>
      <c r="F39" s="14">
        <f>IFERROR(BP!F27/BP!F15,"")</f>
        <v>4.2509072363222294E-2</v>
      </c>
      <c r="G39" s="14">
        <f>IFERROR(BP!G27/BP!G15,"")</f>
        <v>4.0506321893011128E-2</v>
      </c>
      <c r="H39" s="14">
        <f>IFERROR(BP!H27/BP!H15,"")</f>
        <v>4.6023808132075718E-2</v>
      </c>
      <c r="I39" s="14">
        <f>IFERROR(BP!I27/BP!I15,"")</f>
        <v>4.8552861990470174E-2</v>
      </c>
      <c r="J39" s="14">
        <f>IFERROR(BP!J27/BP!J15,"")</f>
        <v>5.0461733305441535E-2</v>
      </c>
      <c r="K39" s="14">
        <f>IFERROR(BP!K27/BP!K15,"")</f>
        <v>4.8625110765606987E-2</v>
      </c>
      <c r="L39" s="14">
        <f>IFERROR(BP!L27/BP!L15,"")</f>
        <v>5.081732384703911E-2</v>
      </c>
      <c r="M39" s="14">
        <f>IFERROR(BP!M27/BP!M15,"")</f>
        <v>5.3375868805550751E-2</v>
      </c>
      <c r="N39" s="14">
        <f>IFERROR(BP!N27/BP!N15,"")</f>
        <v>5.5157173667545724E-2</v>
      </c>
      <c r="O39" s="14">
        <f>IFERROR(BP!O27/BP!O15,"")</f>
        <v>5.6637454218870197E-2</v>
      </c>
      <c r="P39" s="14">
        <f>IFERROR(BP!P27/BP!P15,"")</f>
        <v>5.505120878359844E-2</v>
      </c>
      <c r="Q39" s="14">
        <f>IFERROR(BP!Q27/BP!Q15,"")</f>
        <v>5.0978248750420167E-2</v>
      </c>
      <c r="R39" s="14">
        <f>IFERROR(BP!R27/BP!R15,"")</f>
        <v>5.045893006424066E-2</v>
      </c>
      <c r="S39" s="14">
        <f>IFERROR(BP!S27/BP!S15,"")</f>
        <v>4.8496024830701825E-2</v>
      </c>
      <c r="T39" s="14">
        <f>IFERROR(BP!T27/BP!T15,"")</f>
        <v>4.7029394791039687E-2</v>
      </c>
      <c r="U39" s="14">
        <f>IFERROR(BP!U27/BP!U15,"")</f>
        <v>5.0224753506873471E-2</v>
      </c>
      <c r="V39" s="14">
        <f>IFERROR(BP!V27/BP!V15,"")</f>
        <v>5.256165190210161E-2</v>
      </c>
      <c r="W39" s="14">
        <f>IFERROR(BP!W27/BP!W15,"")</f>
        <v>5.2948692813248446E-2</v>
      </c>
      <c r="X39" s="14">
        <f>IFERROR(BP!X27/BP!X15,"")</f>
        <v>5.371601540116127E-2</v>
      </c>
      <c r="Y39" s="14">
        <f>IFERROR(BP!Y27/BP!Y15,"")</f>
        <v>5.3076953444870845E-2</v>
      </c>
      <c r="Z39" s="14">
        <f>IFERROR(BP!Z27/BP!Z15,"")</f>
        <v>4.7589636425060172E-2</v>
      </c>
      <c r="AA39" s="14">
        <f>IFERROR(BP!AA27/BP!AA15,"")</f>
        <v>5.0556193326770547E-2</v>
      </c>
      <c r="AB39" s="14">
        <f>IFERROR(BP!AB27/BP!AB15,"")</f>
        <v>5.924368937626423E-2</v>
      </c>
      <c r="AC39" s="14">
        <f>IFERROR(BP!AC27/BP!AC15,"")</f>
        <v>5.8140667938658595E-2</v>
      </c>
      <c r="AD39" s="14">
        <f>IFERROR(BP!AD27/BP!AD15,"")</f>
        <v>5.3188631982308825E-2</v>
      </c>
      <c r="AE39" s="14">
        <f>IFERROR(BP!AE27/BP!AE15,"")</f>
        <v>4.5399762429191838E-2</v>
      </c>
      <c r="AF39" s="14">
        <f>IFERROR(BP!AF27/BP!AF15,"")</f>
        <v>4.6404149457144384E-2</v>
      </c>
    </row>
    <row r="40" spans="1:32" x14ac:dyDescent="0.3">
      <c r="A40" s="4" t="s">
        <v>222</v>
      </c>
      <c r="B40" s="8"/>
      <c r="C40" s="14">
        <f>IFERROR(BP!C29/BP!C15,"")</f>
        <v>0.53851960671645804</v>
      </c>
      <c r="D40" s="14">
        <f>IFERROR(BP!D29/BP!D15,"")</f>
        <v>0.56781725862415322</v>
      </c>
      <c r="E40" s="14">
        <f>IFERROR(BP!E29/BP!E15,"")</f>
        <v>0.54367730343031118</v>
      </c>
      <c r="F40" s="14">
        <f>IFERROR(BP!F29/BP!F15,"")</f>
        <v>0.57505370306882753</v>
      </c>
      <c r="G40" s="14">
        <f>IFERROR(BP!G29/BP!G15,"")</f>
        <v>0.53613631637959147</v>
      </c>
      <c r="H40" s="14">
        <f>IFERROR(BP!H29/BP!H15,"")</f>
        <v>0.54375137070248369</v>
      </c>
      <c r="I40" s="14">
        <f>IFERROR(BP!I29/BP!I15,"")</f>
        <v>0.52687947036527361</v>
      </c>
      <c r="J40" s="14">
        <f>IFERROR(BP!J29/BP!J15,"")</f>
        <v>0.51958114741262929</v>
      </c>
      <c r="K40" s="14">
        <f>IFERROR(BP!K29/BP!K15,"")</f>
        <v>0.48045154334617035</v>
      </c>
      <c r="L40" s="14">
        <f>IFERROR(BP!L29/BP!L15,"")</f>
        <v>0.47043578588536689</v>
      </c>
      <c r="M40" s="14">
        <f>IFERROR(BP!M29/BP!M15,"")</f>
        <v>0.45334718831651682</v>
      </c>
      <c r="N40" s="14">
        <f>IFERROR(BP!N29/BP!N15,"")</f>
        <v>0.45411241529402163</v>
      </c>
      <c r="O40" s="14">
        <f>IFERROR(BP!O29/BP!O15,"")</f>
        <v>0.44224154453218056</v>
      </c>
      <c r="P40" s="14">
        <f>IFERROR(BP!P29/BP!P15,"")</f>
        <v>0.4266351692797567</v>
      </c>
      <c r="Q40" s="14">
        <f>IFERROR(BP!Q29/BP!Q15,"")</f>
        <v>0.40511429804520976</v>
      </c>
      <c r="R40" s="14">
        <f>IFERROR(BP!R29/BP!R15,"")</f>
        <v>0.40922909643276817</v>
      </c>
      <c r="S40" s="14">
        <f>IFERROR(BP!S29/BP!S15,"")</f>
        <v>0.39090612522503126</v>
      </c>
      <c r="T40" s="14">
        <f>IFERROR(BP!T29/BP!T15,"")</f>
        <v>0.37997664700879563</v>
      </c>
      <c r="U40" s="14">
        <f>IFERROR(BP!U29/BP!U15,"")</f>
        <v>0.38494451493123905</v>
      </c>
      <c r="V40" s="14">
        <f>IFERROR(BP!V29/BP!V15,"")</f>
        <v>0.39569537809987326</v>
      </c>
      <c r="W40" s="14">
        <f>IFERROR(BP!W29/BP!W15,"")</f>
        <v>0.37218804457410581</v>
      </c>
      <c r="X40" s="14">
        <f>IFERROR(BP!X29/BP!X15,"")</f>
        <v>0.343107579101322</v>
      </c>
      <c r="Y40" s="14">
        <f>IFERROR(BP!Y29/BP!Y15,"")</f>
        <v>0.36062197806182966</v>
      </c>
      <c r="Z40" s="14">
        <f>IFERROR(BP!Z29/BP!Z15,"")</f>
        <v>0.33808093525508509</v>
      </c>
      <c r="AA40" s="14">
        <f>IFERROR(BP!AA29/BP!AA15,"")</f>
        <v>0.35211905533680887</v>
      </c>
      <c r="AB40" s="14">
        <f>IFERROR(BP!AB29/BP!AB15,"")</f>
        <v>0.36168646942850713</v>
      </c>
      <c r="AC40" s="14">
        <f>IFERROR(BP!AC29/BP!AC15,"")</f>
        <v>0.350395900888753</v>
      </c>
      <c r="AD40" s="14">
        <f>IFERROR(BP!AD29/BP!AD15,"")</f>
        <v>0.32376885922589377</v>
      </c>
      <c r="AE40" s="14">
        <f>IFERROR(BP!AE29/BP!AE15,"")</f>
        <v>0.29103779384506145</v>
      </c>
      <c r="AF40" s="14">
        <f>IFERROR(BP!AF29/BP!AF15,"")</f>
        <v>0.27653326003134859</v>
      </c>
    </row>
    <row r="41" spans="1:32" x14ac:dyDescent="0.3">
      <c r="A41" s="3" t="s">
        <v>223</v>
      </c>
      <c r="B41" s="8"/>
      <c r="C41" s="15">
        <f>IFERROR(BP!C31/BP!C15,"")</f>
        <v>0.20952772350939605</v>
      </c>
      <c r="D41" s="15">
        <f>IFERROR(BP!D31/BP!D15,"")</f>
        <v>0.20236251364250024</v>
      </c>
      <c r="E41" s="15">
        <f>IFERROR(BP!E31/BP!E15,"")</f>
        <v>0.22175583632075163</v>
      </c>
      <c r="F41" s="15">
        <f>IFERROR(BP!F31/BP!F15,"")</f>
        <v>0.22316403553220607</v>
      </c>
      <c r="G41" s="15">
        <f>IFERROR(BP!G31/BP!G15,"")</f>
        <v>0.23985497966195576</v>
      </c>
      <c r="H41" s="15">
        <f>IFERROR(BP!H31/BP!H15,"")</f>
        <v>0.25110107439403079</v>
      </c>
      <c r="I41" s="15">
        <f>IFERROR(BP!I31/BP!I15,"")</f>
        <v>0.26754641712742738</v>
      </c>
      <c r="J41" s="15">
        <f>IFERROR(BP!J31/BP!J15,"")</f>
        <v>0.28169905473623602</v>
      </c>
      <c r="K41" s="15">
        <f>IFERROR(BP!K31/BP!K15,"")</f>
        <v>0.32111446064346011</v>
      </c>
      <c r="L41" s="15">
        <f>IFERROR(BP!L31/BP!L15,"")</f>
        <v>0.33838279490045747</v>
      </c>
      <c r="M41" s="15">
        <f>IFERROR(BP!M31/BP!M15,"")</f>
        <v>0.35832167150208294</v>
      </c>
      <c r="N41" s="15">
        <f>IFERROR(BP!N31/BP!N15,"")</f>
        <v>0.35548654926471013</v>
      </c>
      <c r="O41" s="15">
        <f>IFERROR(BP!O31/BP!O15,"")</f>
        <v>0.38702160009868763</v>
      </c>
      <c r="P41" s="15">
        <f>IFERROR(BP!P31/BP!P15,"")</f>
        <v>0.41155532245466031</v>
      </c>
      <c r="Q41" s="15">
        <f>IFERROR(BP!Q31/BP!Q15,"")</f>
        <v>0.43160633046583835</v>
      </c>
      <c r="R41" s="15">
        <f>IFERROR(BP!R31/BP!R15,"")</f>
        <v>0.42756456826792555</v>
      </c>
      <c r="S41" s="15">
        <f>IFERROR(BP!S31/BP!S15,"")</f>
        <v>0.44105968548006685</v>
      </c>
      <c r="T41" s="15">
        <f>IFERROR(BP!T31/BP!T15,"")</f>
        <v>0.44929851195080089</v>
      </c>
      <c r="U41" s="15">
        <f>IFERROR(BP!U31/BP!U15,"")</f>
        <v>0.44660261348954156</v>
      </c>
      <c r="V41" s="15">
        <f>IFERROR(BP!V31/BP!V15,"")</f>
        <v>0.42248043133553825</v>
      </c>
      <c r="W41" s="15">
        <f>IFERROR(BP!W31/BP!W15,"")</f>
        <v>0.43756721719614972</v>
      </c>
      <c r="X41" s="15">
        <f>IFERROR(BP!X31/BP!X15,"")</f>
        <v>0.45037048186114986</v>
      </c>
      <c r="Y41" s="15">
        <f>IFERROR(BP!Y31/BP!Y15,"")</f>
        <v>0.43458176417801947</v>
      </c>
      <c r="Z41" s="15">
        <f>IFERROR(BP!Z31/BP!Z15,"")</f>
        <v>0.46137226266592879</v>
      </c>
      <c r="AA41" s="15">
        <f>IFERROR(BP!AA31/BP!AA15,"")</f>
        <v>0.46130082212971663</v>
      </c>
      <c r="AB41" s="15">
        <f>IFERROR(BP!AB31/BP!AB15,"")</f>
        <v>0.46990690939211976</v>
      </c>
      <c r="AC41" s="15">
        <f>IFERROR(BP!AC31/BP!AC15,"")</f>
        <v>0.47245131436182525</v>
      </c>
      <c r="AD41" s="15">
        <f>IFERROR(BP!AD31/BP!AD15,"")</f>
        <v>0.47872171791737012</v>
      </c>
      <c r="AE41" s="15">
        <f>IFERROR(BP!AE31/BP!AE15,"")</f>
        <v>0.51013574917520699</v>
      </c>
      <c r="AF41" s="15">
        <f>IFERROR(BP!AF31/BP!AF15,"")</f>
        <v>0.51585670670987749</v>
      </c>
    </row>
    <row r="42" spans="1:32" x14ac:dyDescent="0.3">
      <c r="A42" s="3" t="s">
        <v>224</v>
      </c>
      <c r="B42" s="8"/>
      <c r="C42" s="15">
        <f>IFERROR(BP!C32/BP!C15,"")</f>
        <v>1</v>
      </c>
      <c r="D42" s="15">
        <f>IFERROR(BP!D32/BP!D15,"")</f>
        <v>1</v>
      </c>
      <c r="E42" s="15">
        <f>IFERROR(BP!E32/BP!E15,"")</f>
        <v>1</v>
      </c>
      <c r="F42" s="15">
        <f>IFERROR(BP!F32/BP!F15,"")</f>
        <v>1</v>
      </c>
      <c r="G42" s="15">
        <f>IFERROR(BP!G32/BP!G15,"")</f>
        <v>1</v>
      </c>
      <c r="H42" s="15">
        <f>IFERROR(BP!H32/BP!H15,"")</f>
        <v>1</v>
      </c>
      <c r="I42" s="15">
        <f>IFERROR(BP!I32/BP!I15,"")</f>
        <v>1.0000000000000002</v>
      </c>
      <c r="J42" s="15">
        <f>IFERROR(BP!J32/BP!J15,"")</f>
        <v>1</v>
      </c>
      <c r="K42" s="15">
        <f>IFERROR(BP!K32/BP!K15,"")</f>
        <v>1</v>
      </c>
      <c r="L42" s="15">
        <f>IFERROR(BP!L32/BP!L15,"")</f>
        <v>1</v>
      </c>
      <c r="M42" s="15">
        <f>IFERROR(BP!M32/BP!M15,"")</f>
        <v>1</v>
      </c>
      <c r="N42" s="15">
        <f>IFERROR(BP!N32/BP!N15,"")</f>
        <v>1</v>
      </c>
      <c r="O42" s="15">
        <f>IFERROR(BP!O32/BP!O15,"")</f>
        <v>1</v>
      </c>
      <c r="P42" s="15">
        <f>IFERROR(BP!P32/BP!P15,"")</f>
        <v>1</v>
      </c>
      <c r="Q42" s="15">
        <f>IFERROR(BP!Q32/BP!Q15,"")</f>
        <v>1</v>
      </c>
      <c r="R42" s="15">
        <f>IFERROR(BP!R32/BP!R15,"")</f>
        <v>1</v>
      </c>
      <c r="S42" s="15">
        <f>IFERROR(BP!S32/BP!S15,"")</f>
        <v>1</v>
      </c>
      <c r="T42" s="15">
        <f>IFERROR(BP!T32/BP!T15,"")</f>
        <v>1</v>
      </c>
      <c r="U42" s="15">
        <f>IFERROR(BP!U32/BP!U15,"")</f>
        <v>1</v>
      </c>
      <c r="V42" s="15">
        <f>IFERROR(BP!V32/BP!V15,"")</f>
        <v>1</v>
      </c>
      <c r="W42" s="15">
        <f>IFERROR(BP!W32/BP!W15,"")</f>
        <v>1.0000000000000002</v>
      </c>
      <c r="X42" s="15">
        <f>IFERROR(BP!X32/BP!X15,"")</f>
        <v>1.0000000000000002</v>
      </c>
      <c r="Y42" s="15">
        <f>IFERROR(BP!Y32/BP!Y15,"")</f>
        <v>1</v>
      </c>
      <c r="Z42" s="15">
        <f>IFERROR(BP!Z32/BP!Z15,"")</f>
        <v>0.99999999999999989</v>
      </c>
      <c r="AA42" s="15">
        <f>IFERROR(BP!AA32/BP!AA15,"")</f>
        <v>1</v>
      </c>
      <c r="AB42" s="15">
        <f>IFERROR(BP!AB32/BP!AB15,"")</f>
        <v>1.0000000000000002</v>
      </c>
      <c r="AC42" s="15">
        <f>IFERROR(BP!AC32/BP!AC15,"")</f>
        <v>1</v>
      </c>
      <c r="AD42" s="15">
        <f>IFERROR(BP!AD32/BP!AD15,"")</f>
        <v>1</v>
      </c>
      <c r="AE42" s="15">
        <f>IFERROR(BP!AE32/BP!AE15,"")</f>
        <v>1.0000000000000002</v>
      </c>
      <c r="AF42" s="15">
        <f>IFERROR(BP!AF32/BP!AF15,"")</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55"/>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225</v>
      </c>
    </row>
    <row r="2" spans="1:32" x14ac:dyDescent="0.3">
      <c r="A2" s="2" t="s">
        <v>226</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227</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3" t="s">
        <v>191</v>
      </c>
      <c r="B7" s="8" t="s">
        <v>228</v>
      </c>
      <c r="C7" s="16" t="s">
        <v>229</v>
      </c>
      <c r="D7" s="16" t="s">
        <v>229</v>
      </c>
      <c r="E7" s="16" t="s">
        <v>229</v>
      </c>
      <c r="F7" s="16" t="s">
        <v>229</v>
      </c>
      <c r="G7" s="15">
        <f>IFERROR((DRE!G7-DRE!C7)/ABS(DRE!C7),"")</f>
        <v>0.27575784252659585</v>
      </c>
      <c r="H7" s="15">
        <f>IFERROR((DRE!H7-DRE!D7)/ABS(DRE!D7),"")</f>
        <v>0.24886068091834523</v>
      </c>
      <c r="I7" s="15">
        <f>IFERROR((DRE!I7-DRE!E7)/ABS(DRE!E7),"")</f>
        <v>0.22702641897231696</v>
      </c>
      <c r="J7" s="15">
        <f>IFERROR((DRE!J7-DRE!F7)/ABS(DRE!F7),"")</f>
        <v>0.21527612404649049</v>
      </c>
      <c r="K7" s="15">
        <f>IFERROR((DRE!K7-DRE!G7)/ABS(DRE!G7),"")</f>
        <v>0.2419670193843603</v>
      </c>
      <c r="L7" s="15">
        <f>IFERROR((DRE!L7-DRE!H7)/ABS(DRE!H7),"")</f>
        <v>0.19411767767472105</v>
      </c>
      <c r="M7" s="15">
        <f>IFERROR((DRE!M7-DRE!I7)/ABS(DRE!I7),"")</f>
        <v>0.16281682761162569</v>
      </c>
      <c r="N7" s="15">
        <f>IFERROR((DRE!N7-DRE!J7)/ABS(DRE!J7),"")</f>
        <v>0.16026567768971423</v>
      </c>
      <c r="O7" s="15">
        <f>IFERROR((DRE!O7-DRE!K7)/ABS(DRE!K7),"")</f>
        <v>9.8346679636512932E-2</v>
      </c>
      <c r="P7" s="15">
        <f>IFERROR((DRE!P7-DRE!L7)/ABS(DRE!L7),"")</f>
        <v>8.5587453827595084E-2</v>
      </c>
      <c r="Q7" s="15">
        <f>IFERROR((DRE!Q7-DRE!M7)/ABS(DRE!M7),"")</f>
        <v>5.90798355895737E-2</v>
      </c>
      <c r="R7" s="15">
        <f>IFERROR((DRE!R7-DRE!N7)/ABS(DRE!N7),"")</f>
        <v>1.8514607906950999E-2</v>
      </c>
      <c r="S7" s="15">
        <f>IFERROR((DRE!S7-DRE!O7)/ABS(DRE!O7),"")</f>
        <v>3.7334100005757653E-2</v>
      </c>
      <c r="T7" s="15">
        <f>IFERROR((DRE!T7-DRE!P7)/ABS(DRE!P7),"")</f>
        <v>2.7246694882813338E-2</v>
      </c>
      <c r="U7" s="15">
        <f>IFERROR((DRE!U7-DRE!Q7)/ABS(DRE!Q7),"")</f>
        <v>7.7732897832577461E-2</v>
      </c>
      <c r="V7" s="15">
        <f>IFERROR((DRE!V7-DRE!R7)/ABS(DRE!R7),"")</f>
        <v>0.12490644166563838</v>
      </c>
      <c r="W7" s="15">
        <f>IFERROR((DRE!W7-DRE!S7)/ABS(DRE!S7),"")</f>
        <v>0.14812676047536844</v>
      </c>
      <c r="X7" s="15">
        <f>IFERROR((DRE!X7-DRE!T7)/ABS(DRE!T7),"")</f>
        <v>0.16757769135396378</v>
      </c>
      <c r="Y7" s="15">
        <f>IFERROR((DRE!Y7-DRE!U7)/ABS(DRE!U7),"")</f>
        <v>0.15020895216250502</v>
      </c>
      <c r="Z7" s="15">
        <f>IFERROR((DRE!Z7-DRE!V7)/ABS(DRE!V7),"")</f>
        <v>0.16004936133117095</v>
      </c>
      <c r="AA7" s="15">
        <f>IFERROR((DRE!AA7-DRE!W7)/ABS(DRE!W7),"")</f>
        <v>0.12511269481475779</v>
      </c>
      <c r="AB7" s="15">
        <f>IFERROR((DRE!AB7-DRE!X7)/ABS(DRE!X7),"")</f>
        <v>0.15899222851858552</v>
      </c>
      <c r="AC7" s="15">
        <f>IFERROR((DRE!AC7-DRE!Y7)/ABS(DRE!Y7),"")</f>
        <v>0.17156793442000245</v>
      </c>
      <c r="AD7" s="15">
        <f>IFERROR((DRE!AD7-DRE!Z7)/ABS(DRE!Z7),"")</f>
        <v>0.17608419566734554</v>
      </c>
      <c r="AE7" s="15">
        <f>IFERROR((DRE!AE7-DRE!AA7)/ABS(DRE!AA7),"")</f>
        <v>0.16190725785301271</v>
      </c>
      <c r="AF7" s="15">
        <f>IFERROR((DRE!AF7-DRE!AB7)/ABS(DRE!AB7),"")</f>
        <v>0.13365374252899551</v>
      </c>
    </row>
    <row r="8" spans="1:32" x14ac:dyDescent="0.3">
      <c r="A8" s="4" t="s">
        <v>192</v>
      </c>
      <c r="B8" s="8" t="s">
        <v>228</v>
      </c>
      <c r="C8" s="16" t="s">
        <v>229</v>
      </c>
      <c r="D8" s="16" t="s">
        <v>229</v>
      </c>
      <c r="E8" s="16" t="s">
        <v>229</v>
      </c>
      <c r="F8" s="16" t="s">
        <v>229</v>
      </c>
      <c r="G8" s="14">
        <f>IFERROR((DRE!G8-DRE!C8)/ABS(DRE!C8),"")</f>
        <v>0.25398294580880604</v>
      </c>
      <c r="H8" s="14">
        <f>IFERROR((DRE!H8-DRE!D8)/ABS(DRE!D8),"")</f>
        <v>0.21228303828414211</v>
      </c>
      <c r="I8" s="14">
        <f>IFERROR((DRE!I8-DRE!E8)/ABS(DRE!E8),"")</f>
        <v>0.2484997186821219</v>
      </c>
      <c r="J8" s="14">
        <f>IFERROR((DRE!J8-DRE!F8)/ABS(DRE!F8),"")</f>
        <v>0.20171158702639874</v>
      </c>
      <c r="K8" s="14">
        <f>IFERROR((DRE!K8-DRE!G8)/ABS(DRE!G8),"")</f>
        <v>7.4675646671765225E-2</v>
      </c>
      <c r="L8" s="14">
        <f>IFERROR((DRE!L8-DRE!H8)/ABS(DRE!H8),"")</f>
        <v>0.10272532890268068</v>
      </c>
      <c r="M8" s="14">
        <f>IFERROR((DRE!M8-DRE!I8)/ABS(DRE!I8),"")</f>
        <v>8.7605949814245979E-2</v>
      </c>
      <c r="N8" s="14">
        <f>IFERROR((DRE!N8-DRE!J8)/ABS(DRE!J8),"")</f>
        <v>0.25795287575987474</v>
      </c>
      <c r="O8" s="14">
        <f>IFERROR((DRE!O8-DRE!K8)/ABS(DRE!K8),"")</f>
        <v>0.10758506309016569</v>
      </c>
      <c r="P8" s="14">
        <f>IFERROR((DRE!P8-DRE!L8)/ABS(DRE!L8),"")</f>
        <v>0.16743296678354058</v>
      </c>
      <c r="Q8" s="14">
        <f>IFERROR((DRE!Q8-DRE!M8)/ABS(DRE!M8),"")</f>
        <v>0.13837244380185468</v>
      </c>
      <c r="R8" s="14">
        <f>IFERROR((DRE!R8-DRE!N8)/ABS(DRE!N8),"")</f>
        <v>3.1411898865843134E-2</v>
      </c>
      <c r="S8" s="14">
        <f>IFERROR((DRE!S8-DRE!O8)/ABS(DRE!O8),"")</f>
        <v>0.12110985470411617</v>
      </c>
      <c r="T8" s="14">
        <f>IFERROR((DRE!T8-DRE!P8)/ABS(DRE!P8),"")</f>
        <v>-3.6849078666440381E-3</v>
      </c>
      <c r="U8" s="14">
        <f>IFERROR((DRE!U8-DRE!Q8)/ABS(DRE!Q8),"")</f>
        <v>2.9679044159489042E-2</v>
      </c>
      <c r="V8" s="14">
        <f>IFERROR((DRE!V8-DRE!R8)/ABS(DRE!R8),"")</f>
        <v>-1.7888996624822393E-2</v>
      </c>
      <c r="W8" s="14">
        <f>IFERROR((DRE!W8-DRE!S8)/ABS(DRE!S8),"")</f>
        <v>3.6107731140544969E-2</v>
      </c>
      <c r="X8" s="14">
        <f>IFERROR((DRE!X8-DRE!T8)/ABS(DRE!T8),"")</f>
        <v>0.10713088989551656</v>
      </c>
      <c r="Y8" s="14">
        <f>IFERROR((DRE!Y8-DRE!U8)/ABS(DRE!U8),"")</f>
        <v>3.8350056826616859E-2</v>
      </c>
      <c r="Z8" s="14">
        <f>IFERROR((DRE!Z8-DRE!V8)/ABS(DRE!V8),"")</f>
        <v>8.6647253831146007E-2</v>
      </c>
      <c r="AA8" s="14">
        <f>IFERROR((DRE!AA8-DRE!W8)/ABS(DRE!W8),"")</f>
        <v>5.7478361277803161E-2</v>
      </c>
      <c r="AB8" s="14">
        <f>IFERROR((DRE!AB8-DRE!X8)/ABS(DRE!X8),"")</f>
        <v>2.9216046019601635E-2</v>
      </c>
      <c r="AC8" s="14">
        <f>IFERROR((DRE!AC8-DRE!Y8)/ABS(DRE!Y8),"")</f>
        <v>0.20398235585024974</v>
      </c>
      <c r="AD8" s="14">
        <f>IFERROR((DRE!AD8-DRE!Z8)/ABS(DRE!Z8),"")</f>
        <v>0.13095358642180388</v>
      </c>
      <c r="AE8" s="14">
        <f>IFERROR((DRE!AE8-DRE!AA8)/ABS(DRE!AA8),"")</f>
        <v>0.11876753584879927</v>
      </c>
      <c r="AF8" s="14">
        <f>IFERROR((DRE!AF8-DRE!AB8)/ABS(DRE!AB8),"")</f>
        <v>0.13363613880954567</v>
      </c>
    </row>
    <row r="9" spans="1:32" x14ac:dyDescent="0.3">
      <c r="A9" s="4" t="s">
        <v>193</v>
      </c>
      <c r="B9" s="8" t="s">
        <v>228</v>
      </c>
      <c r="C9" s="16" t="s">
        <v>229</v>
      </c>
      <c r="D9" s="16" t="s">
        <v>229</v>
      </c>
      <c r="E9" s="16" t="s">
        <v>229</v>
      </c>
      <c r="F9" s="16" t="s">
        <v>229</v>
      </c>
      <c r="G9" s="14">
        <f>IFERROR((DRE!G9-DRE!C9)/ABS(DRE!C9),"")</f>
        <v>0.3136323920944169</v>
      </c>
      <c r="H9" s="14">
        <f>IFERROR((DRE!H9-DRE!D9)/ABS(DRE!D9),"")</f>
        <v>0.30619689912535308</v>
      </c>
      <c r="I9" s="14">
        <f>IFERROR((DRE!I9-DRE!E9)/ABS(DRE!E9),"")</f>
        <v>0.196042265762329</v>
      </c>
      <c r="J9" s="14">
        <f>IFERROR((DRE!J9-DRE!F9)/ABS(DRE!F9),"")</f>
        <v>0.23876704984633346</v>
      </c>
      <c r="K9" s="14">
        <f>IFERROR((DRE!K9-DRE!G9)/ABS(DRE!G9),"")</f>
        <v>0.51973533088252277</v>
      </c>
      <c r="L9" s="14">
        <f>IFERROR((DRE!L9-DRE!H9)/ABS(DRE!H9),"")</f>
        <v>0.32707692590251697</v>
      </c>
      <c r="M9" s="14">
        <f>IFERROR((DRE!M9-DRE!I9)/ABS(DRE!I9),"")</f>
        <v>0.27609948416713215</v>
      </c>
      <c r="N9" s="14">
        <f>IFERROR((DRE!N9-DRE!J9)/ABS(DRE!J9),"")</f>
        <v>-3.8474848766698422E-3</v>
      </c>
      <c r="O9" s="14">
        <f>IFERROR((DRE!O9-DRE!K9)/ABS(DRE!K9),"")</f>
        <v>8.7499556114825489E-2</v>
      </c>
      <c r="P9" s="14">
        <f>IFERROR((DRE!P9-DRE!L9)/ABS(DRE!L9),"")</f>
        <v>-1.3353214378015054E-2</v>
      </c>
      <c r="Q9" s="14">
        <f>IFERROR((DRE!Q9-DRE!M9)/ABS(DRE!M9),"")</f>
        <v>-4.2709554643169424E-2</v>
      </c>
      <c r="R9" s="14">
        <f>IFERROR((DRE!R9-DRE!N9)/ABS(DRE!N9),"")</f>
        <v>-8.847074371706027E-3</v>
      </c>
      <c r="S9" s="14">
        <f>IFERROR((DRE!S9-DRE!O9)/ABS(DRE!O9),"")</f>
        <v>-6.2846805330189714E-2</v>
      </c>
      <c r="T9" s="14">
        <f>IFERROR((DRE!T9-DRE!P9)/ABS(DRE!P9),"")</f>
        <v>7.1490516822356576E-2</v>
      </c>
      <c r="U9" s="14">
        <f>IFERROR((DRE!U9-DRE!Q9)/ABS(DRE!Q9),"")</f>
        <v>0.15108941115564167</v>
      </c>
      <c r="V9" s="14">
        <f>IFERROR((DRE!V9-DRE!R9)/ABS(DRE!R9),"")</f>
        <v>0.44015281713702398</v>
      </c>
      <c r="W9" s="14">
        <f>IFERROR((DRE!W9-DRE!S9)/ABS(DRE!S9),"")</f>
        <v>0.30837600413118066</v>
      </c>
      <c r="X9" s="14">
        <f>IFERROR((DRE!X9-DRE!T9)/ABS(DRE!T9),"")</f>
        <v>0.24797322352725537</v>
      </c>
      <c r="Y9" s="14">
        <f>IFERROR((DRE!Y9-DRE!U9)/ABS(DRE!U9),"")</f>
        <v>0.302956343052109</v>
      </c>
      <c r="Z9" s="14">
        <f>IFERROR((DRE!Z9-DRE!V9)/ABS(DRE!V9),"")</f>
        <v>0.27055801709905991</v>
      </c>
      <c r="AA9" s="14">
        <f>IFERROR((DRE!AA9-DRE!W9)/ABS(DRE!W9),"")</f>
        <v>0.20173297609783097</v>
      </c>
      <c r="AB9" s="14">
        <f>IFERROR((DRE!AB9-DRE!X9)/ABS(DRE!X9),"")</f>
        <v>0.31211764569057465</v>
      </c>
      <c r="AC9" s="14">
        <f>IFERROR((DRE!AC9-DRE!Y9)/ABS(DRE!Y9),"")</f>
        <v>0.13629387230412079</v>
      </c>
      <c r="AD9" s="14">
        <f>IFERROR((DRE!AD9-DRE!Z9)/ABS(DRE!Z9),"")</f>
        <v>0.23419448649732327</v>
      </c>
      <c r="AE9" s="14">
        <f>IFERROR((DRE!AE9-DRE!AA9)/ABS(DRE!AA9),"")</f>
        <v>0.20491210219457562</v>
      </c>
      <c r="AF9" s="14">
        <f>IFERROR((DRE!AF9-DRE!AB9)/ABS(DRE!AB9),"")</f>
        <v>0.13367003513296746</v>
      </c>
    </row>
    <row r="10" spans="1:32" x14ac:dyDescent="0.3">
      <c r="A10" s="4" t="s">
        <v>230</v>
      </c>
      <c r="B10" s="8" t="s">
        <v>228</v>
      </c>
      <c r="C10" s="16" t="s">
        <v>229</v>
      </c>
      <c r="D10" s="16" t="s">
        <v>229</v>
      </c>
      <c r="E10" s="16" t="s">
        <v>229</v>
      </c>
      <c r="F10" s="16" t="s">
        <v>229</v>
      </c>
      <c r="G10" s="14">
        <f>IFERROR((DRE!G13-DRE!C13)/ABS(DRE!C13),"")</f>
        <v>1.5478966569125721E-2</v>
      </c>
      <c r="H10" s="14">
        <f>IFERROR((DRE!H13-DRE!D13)/ABS(DRE!D13),"")</f>
        <v>-5.3168351169243067E-2</v>
      </c>
      <c r="I10" s="14">
        <f>IFERROR((DRE!I13-DRE!E13)/ABS(DRE!E13),"")</f>
        <v>7.3945765448722015E-2</v>
      </c>
      <c r="J10" s="14">
        <f>IFERROR((DRE!J13-DRE!F13)/ABS(DRE!F13),"")</f>
        <v>-1.1574963753298272E-2</v>
      </c>
      <c r="K10" s="14">
        <f>IFERROR((DRE!K13-DRE!G13)/ABS(DRE!G13),"")</f>
        <v>0.10347811998340135</v>
      </c>
      <c r="L10" s="14">
        <f>IFERROR((DRE!L13-DRE!H13)/ABS(DRE!H13),"")</f>
        <v>0.28734811202362365</v>
      </c>
      <c r="M10" s="14">
        <f>IFERROR((DRE!M13-DRE!I13)/ABS(DRE!I13),"")</f>
        <v>0.21436318407563135</v>
      </c>
      <c r="N10" s="14">
        <f>IFERROR((DRE!N13-DRE!J13)/ABS(DRE!J13),"")</f>
        <v>0.20519658500760635</v>
      </c>
      <c r="O10" s="14">
        <f>IFERROR((DRE!O13-DRE!K13)/ABS(DRE!K13),"")</f>
        <v>0.20714502421502473</v>
      </c>
      <c r="P10" s="14">
        <f>IFERROR((DRE!P13-DRE!L13)/ABS(DRE!L13),"")</f>
        <v>0.15240028208725614</v>
      </c>
      <c r="Q10" s="14">
        <f>IFERROR((DRE!Q13-DRE!M13)/ABS(DRE!M13),"")</f>
        <v>5.4074427010597191E-2</v>
      </c>
      <c r="R10" s="14">
        <f>IFERROR((DRE!R13-DRE!N13)/ABS(DRE!N13),"")</f>
        <v>3.2653363243094473E-2</v>
      </c>
      <c r="S10" s="14">
        <f>IFERROR((DRE!S13-DRE!O13)/ABS(DRE!O13),"")</f>
        <v>1.9935635048491055E-2</v>
      </c>
      <c r="T10" s="14">
        <f>IFERROR((DRE!T13-DRE!P13)/ABS(DRE!P13),"")</f>
        <v>-8.4974278453451395E-3</v>
      </c>
      <c r="U10" s="14">
        <f>IFERROR((DRE!U13-DRE!Q13)/ABS(DRE!Q13),"")</f>
        <v>5.6474631306323395E-2</v>
      </c>
      <c r="V10" s="14">
        <f>IFERROR((DRE!V13-DRE!R13)/ABS(DRE!R13),"")</f>
        <v>6.9147924461100768E-2</v>
      </c>
      <c r="W10" s="14">
        <f>IFERROR((DRE!W13-DRE!S13)/ABS(DRE!S13),"")</f>
        <v>7.1352386677464463E-2</v>
      </c>
      <c r="X10" s="14">
        <f>IFERROR((DRE!X13-DRE!T13)/ABS(DRE!T13),"")</f>
        <v>5.6729086329809199E-2</v>
      </c>
      <c r="Y10" s="14">
        <f>IFERROR((DRE!Y13-DRE!U13)/ABS(DRE!U13),"")</f>
        <v>5.9520114064088005E-2</v>
      </c>
      <c r="Z10" s="14">
        <f>IFERROR((DRE!Z13-DRE!V13)/ABS(DRE!V13),"")</f>
        <v>8.7300065887027933E-2</v>
      </c>
      <c r="AA10" s="14">
        <f>IFERROR((DRE!AA13-DRE!W13)/ABS(DRE!W13),"")</f>
        <v>9.7579952215797794E-2</v>
      </c>
      <c r="AB10" s="14">
        <f>IFERROR((DRE!AB13-DRE!X13)/ABS(DRE!X13),"")</f>
        <v>0.11043465575959553</v>
      </c>
      <c r="AC10" s="14">
        <f>IFERROR((DRE!AC13-DRE!Y13)/ABS(DRE!Y13),"")</f>
        <v>0.16847375040521517</v>
      </c>
      <c r="AD10" s="14">
        <f>IFERROR((DRE!AD13-DRE!Z13)/ABS(DRE!Z13),"")</f>
        <v>0.16547217776786727</v>
      </c>
      <c r="AE10" s="14">
        <f>IFERROR((DRE!AE13-DRE!AA13)/ABS(DRE!AA13),"")</f>
        <v>0.24415480259021913</v>
      </c>
      <c r="AF10" s="14">
        <f>IFERROR((DRE!AF13-DRE!AB13)/ABS(DRE!AB13),"")</f>
        <v>0.177449939646143</v>
      </c>
    </row>
    <row r="11" spans="1:32" x14ac:dyDescent="0.3">
      <c r="A11" s="3" t="s">
        <v>197</v>
      </c>
      <c r="B11" s="8" t="s">
        <v>228</v>
      </c>
      <c r="C11" s="16" t="s">
        <v>229</v>
      </c>
      <c r="D11" s="16" t="s">
        <v>229</v>
      </c>
      <c r="E11" s="16" t="s">
        <v>229</v>
      </c>
      <c r="F11" s="16" t="s">
        <v>229</v>
      </c>
      <c r="G11" s="15">
        <f>IFERROR((DRE!G14-DRE!C14)/ABS(DRE!C14),"")</f>
        <v>1.0873217101881121</v>
      </c>
      <c r="H11" s="15">
        <f>IFERROR((DRE!H14-DRE!D14)/ABS(DRE!D14),"")</f>
        <v>0.92226992762086046</v>
      </c>
      <c r="I11" s="15">
        <f>IFERROR((DRE!I14-DRE!E14)/ABS(DRE!E14),"")</f>
        <v>0.34136980879152906</v>
      </c>
      <c r="J11" s="15">
        <f>IFERROR((DRE!J14-DRE!F14)/ABS(DRE!F14),"")</f>
        <v>1.0811712670551705</v>
      </c>
      <c r="K11" s="15">
        <f>IFERROR((DRE!K14-DRE!G14)/ABS(DRE!G14),"")</f>
        <v>1.0452321717787318</v>
      </c>
      <c r="L11" s="15">
        <f>IFERROR((DRE!L14-DRE!H14)/ABS(DRE!H14),"")</f>
        <v>0.36062442191338562</v>
      </c>
      <c r="M11" s="15">
        <f>IFERROR((DRE!M14-DRE!I14)/ABS(DRE!I14),"")</f>
        <v>0.33493223248353671</v>
      </c>
      <c r="N11" s="15">
        <f>IFERROR((DRE!N14-DRE!J14)/ABS(DRE!J14),"")</f>
        <v>-0.3379352407460578</v>
      </c>
      <c r="O11" s="15">
        <f>IFERROR((DRE!O14-DRE!K14)/ABS(DRE!K14),"")</f>
        <v>6.0055432644030892E-3</v>
      </c>
      <c r="P11" s="15">
        <f>IFERROR((DRE!P14-DRE!L14)/ABS(DRE!L14),"")</f>
        <v>-0.14577972862532046</v>
      </c>
      <c r="Q11" s="15">
        <f>IFERROR((DRE!Q14-DRE!M14)/ABS(DRE!M14),"")</f>
        <v>-0.12661137739117934</v>
      </c>
      <c r="R11" s="15">
        <f>IFERROR((DRE!R14-DRE!N14)/ABS(DRE!N14),"")</f>
        <v>-0.12958196812131056</v>
      </c>
      <c r="S11" s="15">
        <f>IFERROR((DRE!S14-DRE!O14)/ABS(DRE!O14),"")</f>
        <v>-0.1305059884582575</v>
      </c>
      <c r="T11" s="15">
        <f>IFERROR((DRE!T14-DRE!P14)/ABS(DRE!P14),"")</f>
        <v>0.15770302284191165</v>
      </c>
      <c r="U11" s="15">
        <f>IFERROR((DRE!U14-DRE!Q14)/ABS(DRE!Q14),"")</f>
        <v>0.25007925542948628</v>
      </c>
      <c r="V11" s="15">
        <f>IFERROR((DRE!V14-DRE!R14)/ABS(DRE!R14),"")</f>
        <v>1.7206730629346227</v>
      </c>
      <c r="W11" s="15">
        <f>IFERROR((DRE!W14-DRE!S14)/ABS(DRE!S14),"")</f>
        <v>0.53561680832658165</v>
      </c>
      <c r="X11" s="15">
        <f>IFERROR((DRE!X14-DRE!T14)/ABS(DRE!T14),"")</f>
        <v>0.42450810893052265</v>
      </c>
      <c r="Y11" s="15">
        <f>IFERROR((DRE!Y14-DRE!U14)/ABS(DRE!U14),"")</f>
        <v>0.51820398101851661</v>
      </c>
      <c r="Z11" s="15">
        <f>IFERROR((DRE!Z14-DRE!V14)/ABS(DRE!V14),"")</f>
        <v>0.51911792523138367</v>
      </c>
      <c r="AA11" s="15">
        <f>IFERROR((DRE!AA14-DRE!W14)/ABS(DRE!W14),"")</f>
        <v>0.27139820416374477</v>
      </c>
      <c r="AB11" s="15">
        <f>IFERROR((DRE!AB14-DRE!X14)/ABS(DRE!X14),"")</f>
        <v>0.45022296824580266</v>
      </c>
      <c r="AC11" s="15">
        <f>IFERROR((DRE!AC14-DRE!Y14)/ABS(DRE!Y14),"")</f>
        <v>0.1164367341621884</v>
      </c>
      <c r="AD11" s="15">
        <f>IFERROR((DRE!AD14-DRE!Z14)/ABS(DRE!Z14),"")</f>
        <v>0.30090955250122475</v>
      </c>
      <c r="AE11" s="15">
        <f>IFERROR((DRE!AE14-DRE!AA14)/ABS(DRE!AA14),"")</f>
        <v>0.18225222057132362</v>
      </c>
      <c r="AF11" s="15">
        <f>IFERROR((DRE!AF14-DRE!AB14)/ABS(DRE!AB14),"")</f>
        <v>0.11071519969565775</v>
      </c>
    </row>
    <row r="12" spans="1:32" x14ac:dyDescent="0.3">
      <c r="A12" s="4" t="s">
        <v>204</v>
      </c>
      <c r="B12" s="8" t="s">
        <v>228</v>
      </c>
      <c r="C12" s="16" t="s">
        <v>229</v>
      </c>
      <c r="D12" s="16" t="s">
        <v>229</v>
      </c>
      <c r="E12" s="16" t="s">
        <v>229</v>
      </c>
      <c r="F12" s="16" t="s">
        <v>229</v>
      </c>
      <c r="G12" s="14">
        <f>IFERROR((DRE!G30-DRE!C30)/ABS(DRE!C30),"")</f>
        <v>1.0445109759761302</v>
      </c>
      <c r="H12" s="14">
        <f>IFERROR((DRE!H30-DRE!D30)/ABS(DRE!D30),"")</f>
        <v>0.89173469596879507</v>
      </c>
      <c r="I12" s="14">
        <f>IFERROR((DRE!I30-DRE!E30)/ABS(DRE!E30),"")</f>
        <v>0.33418872766382968</v>
      </c>
      <c r="J12" s="14">
        <f>IFERROR((DRE!J30-DRE!F30)/ABS(DRE!F30),"")</f>
        <v>1.0278103345465019</v>
      </c>
      <c r="K12" s="14">
        <f>IFERROR((DRE!K30-DRE!G30)/ABS(DRE!G30),"")</f>
        <v>1.0223465781897159</v>
      </c>
      <c r="L12" s="14">
        <f>IFERROR((DRE!L30-DRE!H30)/ABS(DRE!H30),"")</f>
        <v>0.36218329049270198</v>
      </c>
      <c r="M12" s="14">
        <f>IFERROR((DRE!M30-DRE!I30)/ABS(DRE!I30),"")</f>
        <v>0.35881743448965842</v>
      </c>
      <c r="N12" s="14">
        <f>IFERROR((DRE!N30-DRE!J30)/ABS(DRE!J30),"")</f>
        <v>-0.29449951074088498</v>
      </c>
      <c r="O12" s="14">
        <f>IFERROR((DRE!O30-DRE!K30)/ABS(DRE!K30),"")</f>
        <v>2.5371355038116453E-2</v>
      </c>
      <c r="P12" s="14">
        <f>IFERROR((DRE!P30-DRE!L30)/ABS(DRE!L30),"")</f>
        <v>-0.11891218961816816</v>
      </c>
      <c r="Q12" s="14">
        <f>IFERROR((DRE!Q30-DRE!M30)/ABS(DRE!M30),"")</f>
        <v>-0.11355755609677511</v>
      </c>
      <c r="R12" s="14">
        <f>IFERROR((DRE!R30-DRE!N30)/ABS(DRE!N30),"")</f>
        <v>-7.5404525162630034E-2</v>
      </c>
      <c r="S12" s="14">
        <f>IFERROR((DRE!S30-DRE!O30)/ABS(DRE!O30),"")</f>
        <v>-0.1180591801109165</v>
      </c>
      <c r="T12" s="14">
        <f>IFERROR((DRE!T30-DRE!P30)/ABS(DRE!P30),"")</f>
        <v>0.15331678890448164</v>
      </c>
      <c r="U12" s="14">
        <f>IFERROR((DRE!U30-DRE!Q30)/ABS(DRE!Q30),"")</f>
        <v>0.24029573490643352</v>
      </c>
      <c r="V12" s="14">
        <f>IFERROR((DRE!V30-DRE!R30)/ABS(DRE!R30),"")</f>
        <v>1.4602800287894608</v>
      </c>
      <c r="W12" s="14">
        <f>IFERROR((DRE!W30-DRE!S30)/ABS(DRE!S30),"")</f>
        <v>0.50708723898014707</v>
      </c>
      <c r="X12" s="14">
        <f>IFERROR((DRE!X30-DRE!T30)/ABS(DRE!T30),"")</f>
        <v>0.40045331029214676</v>
      </c>
      <c r="Y12" s="14">
        <f>IFERROR((DRE!Y30-DRE!U30)/ABS(DRE!U30),"")</f>
        <v>0.489940479927296</v>
      </c>
      <c r="Z12" s="14">
        <f>IFERROR((DRE!Z30-DRE!V30)/ABS(DRE!V30),"")</f>
        <v>0.48628335805938827</v>
      </c>
      <c r="AA12" s="14">
        <f>IFERROR((DRE!AA30-DRE!W30)/ABS(DRE!W30),"")</f>
        <v>0.26005821084739572</v>
      </c>
      <c r="AB12" s="14">
        <f>IFERROR((DRE!AB30-DRE!X30)/ABS(DRE!X30),"")</f>
        <v>0.43614571038544547</v>
      </c>
      <c r="AC12" s="14">
        <f>IFERROR((DRE!AC30-DRE!Y30)/ABS(DRE!Y30),"")</f>
        <v>0.11543039020649848</v>
      </c>
      <c r="AD12" s="14">
        <f>IFERROR((DRE!AD30-DRE!Z30)/ABS(DRE!Z30),"")</f>
        <v>0.29347427310659058</v>
      </c>
      <c r="AE12" s="14">
        <f>IFERROR((DRE!AE30-DRE!AA30)/ABS(DRE!AA30),"")</f>
        <v>0.18339477558938155</v>
      </c>
      <c r="AF12" s="14">
        <f>IFERROR((DRE!AF30-DRE!AB30)/ABS(DRE!AB30),"")</f>
        <v>0.11373964350597879</v>
      </c>
    </row>
    <row r="13" spans="1:32" x14ac:dyDescent="0.3">
      <c r="A13" s="4" t="s">
        <v>198</v>
      </c>
      <c r="B13" s="8" t="s">
        <v>228</v>
      </c>
      <c r="C13" s="16" t="s">
        <v>229</v>
      </c>
      <c r="D13" s="16" t="s">
        <v>229</v>
      </c>
      <c r="E13" s="16" t="s">
        <v>229</v>
      </c>
      <c r="F13" s="16" t="s">
        <v>229</v>
      </c>
      <c r="G13" s="14">
        <f>IFERROR((DRE!G15-DRE!C15)/ABS(DRE!C15),"")</f>
        <v>0.35825542872743105</v>
      </c>
      <c r="H13" s="14">
        <f>IFERROR((DRE!H15-DRE!D15)/ABS(DRE!D15),"")</f>
        <v>0.24414436339478945</v>
      </c>
      <c r="I13" s="14">
        <f>IFERROR((DRE!I15-DRE!E15)/ABS(DRE!E15),"")</f>
        <v>0.22668367982073953</v>
      </c>
      <c r="J13" s="14">
        <f>IFERROR((DRE!J15-DRE!F15)/ABS(DRE!F15),"")</f>
        <v>0.10902638342866475</v>
      </c>
      <c r="K13" s="14">
        <f>IFERROR((DRE!K15-DRE!G15)/ABS(DRE!G15),"")</f>
        <v>5.6262664124335213E-2</v>
      </c>
      <c r="L13" s="14">
        <f>IFERROR((DRE!L15-DRE!H15)/ABS(DRE!H15),"")</f>
        <v>1.1477602550343335E-2</v>
      </c>
      <c r="M13" s="14">
        <f>IFERROR((DRE!M15-DRE!I15)/ABS(DRE!I15),"")</f>
        <v>-3.3742813795483058E-2</v>
      </c>
      <c r="N13" s="14">
        <f>IFERROR((DRE!N15-DRE!J15)/ABS(DRE!J15),"")</f>
        <v>-3.9338492590751901E-2</v>
      </c>
      <c r="O13" s="14">
        <f>IFERROR((DRE!O15-DRE!K15)/ABS(DRE!K15),"")</f>
        <v>-3.5285949393128936E-2</v>
      </c>
      <c r="P13" s="14">
        <f>IFERROR((DRE!P15-DRE!L15)/ABS(DRE!L15),"")</f>
        <v>-8.2933483864897864E-2</v>
      </c>
      <c r="Q13" s="14">
        <f>IFERROR((DRE!Q15-DRE!M15)/ABS(DRE!M15),"")</f>
        <v>-9.3756728229418912E-2</v>
      </c>
      <c r="R13" s="14">
        <f>IFERROR((DRE!R15-DRE!N15)/ABS(DRE!N15),"")</f>
        <v>-9.9382882240839535E-2</v>
      </c>
      <c r="S13" s="14">
        <f>IFERROR((DRE!S15-DRE!O15)/ABS(DRE!O15),"")</f>
        <v>-7.111670282920797E-2</v>
      </c>
      <c r="T13" s="14">
        <f>IFERROR((DRE!T15-DRE!P15)/ABS(DRE!P15),"")</f>
        <v>-3.6647573451882285E-3</v>
      </c>
      <c r="U13" s="14">
        <f>IFERROR((DRE!U15-DRE!Q15)/ABS(DRE!Q15),"")</f>
        <v>1.7314211212516296E-2</v>
      </c>
      <c r="V13" s="14">
        <f>IFERROR((DRE!V15-DRE!R15)/ABS(DRE!R15),"")</f>
        <v>2.7015937586091571E-2</v>
      </c>
      <c r="W13" s="14">
        <f>IFERROR((DRE!W15-DRE!S15)/ABS(DRE!S15),"")</f>
        <v>-5.3087999816344867E-3</v>
      </c>
      <c r="X13" s="14">
        <f>IFERROR((DRE!X15-DRE!T15)/ABS(DRE!T15),"")</f>
        <v>-3.9047662631856057E-2</v>
      </c>
      <c r="Y13" s="14">
        <f>IFERROR((DRE!Y15-DRE!U15)/ABS(DRE!U15),"")</f>
        <v>5.2784470531945939E-2</v>
      </c>
      <c r="Z13" s="14">
        <f>IFERROR((DRE!Z15-DRE!V15)/ABS(DRE!V15),"")</f>
        <v>9.9256900212314342E-2</v>
      </c>
      <c r="AA13" s="14">
        <f>IFERROR((DRE!AA15-DRE!W15)/ABS(DRE!W15),"")</f>
        <v>6.2649295498344068E-2</v>
      </c>
      <c r="AB13" s="14">
        <f>IFERROR((DRE!AB15-DRE!X15)/ABS(DRE!X15),"")</f>
        <v>8.7287035824414008E-2</v>
      </c>
      <c r="AC13" s="14">
        <f>IFERROR((DRE!AC15-DRE!Y15)/ABS(DRE!Y15),"")</f>
        <v>-5.1593356056917172E-2</v>
      </c>
      <c r="AD13" s="14">
        <f>IFERROR((DRE!AD15-DRE!Z15)/ABS(DRE!Z15),"")</f>
        <v>0.21698519753067189</v>
      </c>
      <c r="AE13" s="14">
        <f>IFERROR((DRE!AE15-DRE!AA15)/ABS(DRE!AA15),"")</f>
        <v>0.42300132484851116</v>
      </c>
      <c r="AF13" s="14">
        <f>IFERROR((DRE!AF15-DRE!AB15)/ABS(DRE!AB15),"")</f>
        <v>-3.8127775131536437E-2</v>
      </c>
    </row>
    <row r="14" spans="1:32" x14ac:dyDescent="0.3">
      <c r="A14" s="3" t="s">
        <v>202</v>
      </c>
      <c r="B14" s="8" t="s">
        <v>228</v>
      </c>
      <c r="C14" s="16" t="s">
        <v>229</v>
      </c>
      <c r="D14" s="16" t="s">
        <v>229</v>
      </c>
      <c r="E14" s="16" t="s">
        <v>229</v>
      </c>
      <c r="F14" s="16" t="s">
        <v>229</v>
      </c>
      <c r="G14" s="15">
        <f>IFERROR((DRE!G19-DRE!C19)/ABS(DRE!C19),"")</f>
        <v>1.0609297431783549</v>
      </c>
      <c r="H14" s="15">
        <f>IFERROR((DRE!H19-DRE!D19)/ABS(DRE!D19),"")</f>
        <v>1.6609865139479059</v>
      </c>
      <c r="I14" s="15">
        <f>IFERROR((DRE!I19-DRE!E19)/ABS(DRE!E19),"")</f>
        <v>0.1874981209901922</v>
      </c>
      <c r="J14" s="15">
        <f>IFERROR((DRE!J19-DRE!F19)/ABS(DRE!F19),"")</f>
        <v>-7.6348024600916317E-2</v>
      </c>
      <c r="K14" s="15">
        <f>IFERROR((DRE!K19-DRE!G19)/ABS(DRE!G19),"")</f>
        <v>1.4069869278925693</v>
      </c>
      <c r="L14" s="15">
        <f>IFERROR((DRE!L19-DRE!H19)/ABS(DRE!H19),"")</f>
        <v>0.87867330560014179</v>
      </c>
      <c r="M14" s="15">
        <f>IFERROR((DRE!M19-DRE!I19)/ABS(DRE!I19),"")</f>
        <v>0.83432281487032633</v>
      </c>
      <c r="N14" s="15">
        <f>IFERROR((DRE!N19-DRE!J19)/ABS(DRE!J19),"")</f>
        <v>0.12039523679531416</v>
      </c>
      <c r="O14" s="15">
        <f>IFERROR((DRE!O19-DRE!K19)/ABS(DRE!K19),"")</f>
        <v>-6.4022405615465974E-2</v>
      </c>
      <c r="P14" s="15">
        <f>IFERROR((DRE!P19-DRE!L19)/ABS(DRE!L19),"")</f>
        <v>6.4994201829545739E-2</v>
      </c>
      <c r="Q14" s="15">
        <f>IFERROR((DRE!Q19-DRE!M19)/ABS(DRE!M19),"")</f>
        <v>-3.5076956201593804E-2</v>
      </c>
      <c r="R14" s="15">
        <f>IFERROR((DRE!R19-DRE!N19)/ABS(DRE!N19),"")</f>
        <v>-0.90898689394151422</v>
      </c>
      <c r="S14" s="15">
        <f>IFERROR((DRE!S19-DRE!O19)/ABS(DRE!O19),"")</f>
        <v>-0.18299636858061658</v>
      </c>
      <c r="T14" s="15">
        <f>IFERROR((DRE!T19-DRE!P19)/ABS(DRE!P19),"")</f>
        <v>3.2380698580312985E-2</v>
      </c>
      <c r="U14" s="15">
        <f>IFERROR((DRE!U19-DRE!Q19)/ABS(DRE!Q19),"")</f>
        <v>0.19966500791708466</v>
      </c>
      <c r="V14" s="15">
        <f>IFERROR((DRE!V19-DRE!R19)/ABS(DRE!R19),"")</f>
        <v>15.964004051805235</v>
      </c>
      <c r="W14" s="15">
        <f>IFERROR((DRE!W19-DRE!S19)/ABS(DRE!S19),"")</f>
        <v>0.78696901434350897</v>
      </c>
      <c r="X14" s="15">
        <f>IFERROR((DRE!X19-DRE!T19)/ABS(DRE!T19),"")</f>
        <v>0.44346031553969079</v>
      </c>
      <c r="Y14" s="15">
        <f>IFERROR((DRE!Y19-DRE!U19)/ABS(DRE!U19),"")</f>
        <v>0.4090127588644949</v>
      </c>
      <c r="Z14" s="15">
        <f>IFERROR((DRE!Z19-DRE!V19)/ABS(DRE!V19),"")</f>
        <v>0.99246245087104579</v>
      </c>
      <c r="AA14" s="15">
        <f>IFERROR((DRE!AA19-DRE!W19)/ABS(DRE!W19),"")</f>
        <v>0.23931903187064252</v>
      </c>
      <c r="AB14" s="15">
        <f>IFERROR((DRE!AB19-DRE!X19)/ABS(DRE!X19),"")</f>
        <v>0.45550424578518395</v>
      </c>
      <c r="AC14" s="15">
        <f>IFERROR((DRE!AC19-DRE!Y19)/ABS(DRE!Y19),"")</f>
        <v>7.7599450647322085E-2</v>
      </c>
      <c r="AD14" s="15">
        <f>IFERROR((DRE!AD19-DRE!Z19)/ABS(DRE!Z19),"")</f>
        <v>0.29429088085402599</v>
      </c>
      <c r="AE14" s="15">
        <f>IFERROR((DRE!AE19-DRE!AA19)/ABS(DRE!AA19),"")</f>
        <v>0.82773337909478806</v>
      </c>
      <c r="AF14" s="15">
        <f>IFERROR((DRE!AF19-DRE!AB19)/ABS(DRE!AB19),"")</f>
        <v>8.8308649128931493E-2</v>
      </c>
    </row>
    <row r="15" spans="1:32" x14ac:dyDescent="0.3">
      <c r="A15" s="4" t="s">
        <v>231</v>
      </c>
      <c r="B15" s="8" t="s">
        <v>232</v>
      </c>
      <c r="C15" s="16" t="s">
        <v>229</v>
      </c>
      <c r="D15" s="16" t="s">
        <v>229</v>
      </c>
      <c r="E15" s="16" t="s">
        <v>229</v>
      </c>
      <c r="F15" s="16" t="s">
        <v>229</v>
      </c>
      <c r="G15" s="14">
        <f>IFERROR((DFC!G7-DFC!C7)/ABS(DFC!C7),"")</f>
        <v>1.6843409277012316</v>
      </c>
      <c r="H15" s="14">
        <f>IFERROR((DFC!H7-DFC!D7)/ABS(DFC!D7),"")</f>
        <v>2.91460844425972</v>
      </c>
      <c r="I15" s="14">
        <f>IFERROR((DFC!I7-DFC!E7)/ABS(DFC!E7),"")</f>
        <v>3.518485673403827</v>
      </c>
      <c r="J15" s="14">
        <f>IFERROR((DFC!J7-DFC!F7)/ABS(DFC!F7),"")</f>
        <v>0.9058314950666051</v>
      </c>
      <c r="K15" s="14">
        <f>IFERROR((DFC!K7-DFC!G7)/ABS(DFC!G7),"")</f>
        <v>1.9904967835267324</v>
      </c>
      <c r="L15" s="14">
        <f>IFERROR((DFC!L7-DFC!H7)/ABS(DFC!H7),"")</f>
        <v>-1.0612452885284072</v>
      </c>
      <c r="M15" s="14">
        <f>IFERROR((DFC!M7-DFC!I7)/ABS(DFC!I7),"")</f>
        <v>-0.93481441506740603</v>
      </c>
      <c r="N15" s="14">
        <f>IFERROR((DFC!N7-DFC!J7)/ABS(DFC!J7),"")</f>
        <v>-1.9292376082282525</v>
      </c>
      <c r="O15" s="14">
        <f>IFERROR((DFC!O7-DFC!K7)/ABS(DFC!K7),"")</f>
        <v>0.1872885215614733</v>
      </c>
      <c r="P15" s="14">
        <f>IFERROR((DFC!P7-DFC!L7)/ABS(DFC!L7),"")</f>
        <v>2.6114866454415706</v>
      </c>
      <c r="Q15" s="14">
        <f>IFERROR((DFC!Q7-DFC!M7)/ABS(DFC!M7),"")</f>
        <v>5.7591255052865407</v>
      </c>
      <c r="R15" s="14">
        <f>IFERROR((DFC!R7-DFC!N7)/ABS(DFC!N7),"")</f>
        <v>2.1006362919503863</v>
      </c>
      <c r="S15" s="14">
        <f>IFERROR((DFC!S7-DFC!O7)/ABS(DFC!O7),"")</f>
        <v>1.3609101912684658</v>
      </c>
      <c r="T15" s="14">
        <f>IFERROR((DFC!T7-DFC!P7)/ABS(DFC!P7),"")</f>
        <v>13.016856447688564</v>
      </c>
      <c r="U15" s="14">
        <f>IFERROR((DFC!U7-DFC!Q7)/ABS(DFC!Q7),"")</f>
        <v>2.5780876780230244</v>
      </c>
      <c r="V15" s="14">
        <f>IFERROR((DFC!V7-DFC!R7)/ABS(DFC!R7),"")</f>
        <v>2.7467253040386788</v>
      </c>
      <c r="W15" s="14">
        <f>IFERROR((DFC!W7-DFC!S7)/ABS(DFC!S7),"")</f>
        <v>1.5505292049533288E-2</v>
      </c>
      <c r="X15" s="14">
        <f>IFERROR((DFC!X7-DFC!T7)/ABS(DFC!T7),"")</f>
        <v>-0.10372287242610913</v>
      </c>
      <c r="Y15" s="14">
        <f>IFERROR((DFC!Y7-DFC!U7)/ABS(DFC!U7),"")</f>
        <v>0.16502711669590403</v>
      </c>
      <c r="Z15" s="14">
        <f>IFERROR((DFC!Z7-DFC!V7)/ABS(DFC!V7),"")</f>
        <v>-7.5838207014492898E-2</v>
      </c>
      <c r="AA15" s="14">
        <f>IFERROR((DFC!AA7-DFC!W7)/ABS(DFC!W7),"")</f>
        <v>0.26064238005317014</v>
      </c>
      <c r="AB15" s="14">
        <f>IFERROR((DFC!AB7-DFC!X7)/ABS(DFC!X7),"")</f>
        <v>0.87726198379823472</v>
      </c>
      <c r="AC15" s="14">
        <f>IFERROR((DFC!AC7-DFC!Y7)/ABS(DFC!Y7),"")</f>
        <v>0.21716978278842664</v>
      </c>
      <c r="AD15" s="14">
        <f>IFERROR((DFC!AD7-DFC!Z7)/ABS(DFC!Z7),"")</f>
        <v>0.37396723521596142</v>
      </c>
      <c r="AE15" s="14">
        <f>IFERROR((DFC!AE7-DFC!AA7)/ABS(DFC!AA7),"")</f>
        <v>0.89667535374851337</v>
      </c>
      <c r="AF15" s="14">
        <f>IFERROR((DFC!AF7-DFC!AB7)/ABS(DFC!AB7),"")</f>
        <v>-0.28038533247388431</v>
      </c>
    </row>
    <row r="16" spans="1:32" x14ac:dyDescent="0.3">
      <c r="A16" s="4" t="s">
        <v>233</v>
      </c>
      <c r="B16" s="8" t="s">
        <v>232</v>
      </c>
      <c r="C16" s="16" t="s">
        <v>229</v>
      </c>
      <c r="D16" s="16" t="s">
        <v>229</v>
      </c>
      <c r="E16" s="16" t="s">
        <v>229</v>
      </c>
      <c r="F16" s="16" t="s">
        <v>229</v>
      </c>
      <c r="G16" s="14">
        <f>IFERROR((DFC!G9-DFC!C9)/ABS(DFC!C9),"")</f>
        <v>1.3677972647553276</v>
      </c>
      <c r="H16" s="14">
        <f>IFERROR((DFC!H9-DFC!D9)/ABS(DFC!D9),"")</f>
        <v>2.5417048092186691</v>
      </c>
      <c r="I16" s="14">
        <f>IFERROR((DFC!I9-DFC!E9)/ABS(DFC!E9),"")</f>
        <v>3.1091081229769326</v>
      </c>
      <c r="J16" s="14">
        <f>IFERROR((DFC!J9-DFC!F9)/ABS(DFC!F9),"")</f>
        <v>0.81778313474064035</v>
      </c>
      <c r="K16" s="14">
        <f>IFERROR((DFC!K9-DFC!G9)/ABS(DFC!G9),"")</f>
        <v>3.300666473127976</v>
      </c>
      <c r="L16" s="14">
        <f>IFERROR((DFC!L9-DFC!H9)/ABS(DFC!H9),"")</f>
        <v>-1.1935196561904073</v>
      </c>
      <c r="M16" s="14">
        <f>IFERROR((DFC!M9-DFC!I9)/ABS(DFC!I9),"")</f>
        <v>-1.0736149746522814</v>
      </c>
      <c r="N16" s="14">
        <f>IFERROR((DFC!N9-DFC!J9)/ABS(DFC!J9),"")</f>
        <v>-0.99020026011439444</v>
      </c>
      <c r="O16" s="14">
        <f>IFERROR((DFC!O9-DFC!K9)/ABS(DFC!K9),"")</f>
        <v>0.15140212419122037</v>
      </c>
      <c r="P16" s="14">
        <f>IFERROR((DFC!P9-DFC!L9)/ABS(DFC!L9),"")</f>
        <v>1.0731560167548653</v>
      </c>
      <c r="Q16" s="14">
        <f>IFERROR((DFC!Q9-DFC!M9)/ABS(DFC!M9),"")</f>
        <v>6.5545745632622312</v>
      </c>
      <c r="R16" s="14">
        <f>IFERROR((DFC!R9-DFC!N9)/ABS(DFC!N9),"")</f>
        <v>1.583685988479639</v>
      </c>
      <c r="S16" s="14">
        <f>IFERROR((DFC!S9-DFC!O9)/ABS(DFC!O9),"")</f>
        <v>1.6403532078220637</v>
      </c>
      <c r="T16" s="14">
        <f>IFERROR((DFC!T9-DFC!P9)/ABS(DFC!P9),"")</f>
        <v>104.1885014137606</v>
      </c>
      <c r="U16" s="14">
        <f>IFERROR((DFC!U9-DFC!Q9)/ABS(DFC!Q9),"")</f>
        <v>3.0020896471336234</v>
      </c>
      <c r="V16" s="14">
        <f>IFERROR((DFC!V9-DFC!R9)/ABS(DFC!R9),"")</f>
        <v>3.7593998766045167</v>
      </c>
      <c r="W16" s="14">
        <f>IFERROR((DFC!W9-DFC!S9)/ABS(DFC!S9),"")</f>
        <v>9.489677666541782E-3</v>
      </c>
      <c r="X16" s="14">
        <f>IFERROR((DFC!X9-DFC!T9)/ABS(DFC!T9),"")</f>
        <v>-9.4604483072741705E-2</v>
      </c>
      <c r="Y16" s="14">
        <f>IFERROR((DFC!Y9-DFC!U9)/ABS(DFC!U9),"")</f>
        <v>0.16196476779641467</v>
      </c>
      <c r="Z16" s="14">
        <f>IFERROR((DFC!Z9-DFC!V9)/ABS(DFC!V9),"")</f>
        <v>-0.12847117268313402</v>
      </c>
      <c r="AA16" s="14">
        <f>IFERROR((DFC!AA9-DFC!W9)/ABS(DFC!W9),"")</f>
        <v>0.24527893942740764</v>
      </c>
      <c r="AB16" s="14">
        <f>IFERROR((DFC!AB9-DFC!X9)/ABS(DFC!X9),"")</f>
        <v>0.86990252028765569</v>
      </c>
      <c r="AC16" s="14">
        <f>IFERROR((DFC!AC9-DFC!Y9)/ABS(DFC!Y9),"")</f>
        <v>0.21247330508358692</v>
      </c>
      <c r="AD16" s="14">
        <f>IFERROR((DFC!AD9-DFC!Z9)/ABS(DFC!Z9),"")</f>
        <v>0.35849646645673389</v>
      </c>
      <c r="AE16" s="14">
        <f>IFERROR((DFC!AE9-DFC!AA9)/ABS(DFC!AA9),"")</f>
        <v>0.91440222599535037</v>
      </c>
      <c r="AF16" s="14">
        <f>IFERROR((DFC!AF9-DFC!AB9)/ABS(DFC!AB9),"")</f>
        <v>-0.32734019032632089</v>
      </c>
    </row>
    <row r="17" spans="1:32" x14ac:dyDescent="0.3">
      <c r="A17" s="4" t="s">
        <v>234</v>
      </c>
      <c r="B17" s="8" t="s">
        <v>232</v>
      </c>
      <c r="C17" s="16" t="s">
        <v>229</v>
      </c>
      <c r="D17" s="16" t="s">
        <v>229</v>
      </c>
      <c r="E17" s="16" t="s">
        <v>229</v>
      </c>
      <c r="F17" s="16" t="s">
        <v>229</v>
      </c>
      <c r="G17" s="14">
        <f>IFERROR((DFC!G15-DFC!C15)/ABS(DFC!C15),"")</f>
        <v>9.8917319879669591E-2</v>
      </c>
      <c r="H17" s="14">
        <f>IFERROR((DFC!H15-DFC!D15)/ABS(DFC!D15),"")</f>
        <v>-0.24490098502211807</v>
      </c>
      <c r="I17" s="14">
        <f>IFERROR((DFC!I15-DFC!E15)/ABS(DFC!E15),"")</f>
        <v>-0.27256754667663663</v>
      </c>
      <c r="J17" s="14">
        <f>IFERROR((DFC!J15-DFC!F15)/ABS(DFC!F15),"")</f>
        <v>-0.15845757059486379</v>
      </c>
      <c r="K17" s="14">
        <f>IFERROR((DFC!K15-DFC!G15)/ABS(DFC!G15),"")</f>
        <v>-2.9441986476539052E-3</v>
      </c>
      <c r="L17" s="14">
        <f>IFERROR((DFC!L15-DFC!H15)/ABS(DFC!H15),"")</f>
        <v>0.63166296396899446</v>
      </c>
      <c r="M17" s="14">
        <f>IFERROR((DFC!M15-DFC!I15)/ABS(DFC!I15),"")</f>
        <v>0.75826580342938621</v>
      </c>
      <c r="N17" s="14">
        <f>IFERROR((DFC!N15-DFC!J15)/ABS(DFC!J15),"")</f>
        <v>0.70302959846594082</v>
      </c>
      <c r="O17" s="14">
        <f>IFERROR((DFC!O15-DFC!K15)/ABS(DFC!K15),"")</f>
        <v>9.1210555030542817E-2</v>
      </c>
      <c r="P17" s="14">
        <f>IFERROR((DFC!P15-DFC!L15)/ABS(DFC!L15),"")</f>
        <v>0.14408030756087153</v>
      </c>
      <c r="Q17" s="14">
        <f>IFERROR((DFC!Q15-DFC!M15)/ABS(DFC!M15),"")</f>
        <v>-1.7908648874885653E-2</v>
      </c>
      <c r="R17" s="14">
        <f>IFERROR((DFC!R15-DFC!N15)/ABS(DFC!N15),"")</f>
        <v>-0.29523493895896802</v>
      </c>
      <c r="S17" s="14">
        <f>IFERROR((DFC!S15-DFC!O15)/ABS(DFC!O15),"")</f>
        <v>-0.31401967097487726</v>
      </c>
      <c r="T17" s="14">
        <f>IFERROR((DFC!T15-DFC!P15)/ABS(DFC!P15),"")</f>
        <v>-0.21420986637326012</v>
      </c>
      <c r="U17" s="14">
        <f>IFERROR((DFC!U15-DFC!Q15)/ABS(DFC!Q15),"")</f>
        <v>-0.3707078251962666</v>
      </c>
      <c r="V17" s="14">
        <f>IFERROR((DFC!V15-DFC!R15)/ABS(DFC!R15),"")</f>
        <v>-0.11442384708189723</v>
      </c>
      <c r="W17" s="14">
        <f>IFERROR((DFC!W15-DFC!S15)/ABS(DFC!S15),"")</f>
        <v>0.51666269432285628</v>
      </c>
      <c r="X17" s="14">
        <f>IFERROR((DFC!X15-DFC!T15)/ABS(DFC!T15),"")</f>
        <v>9.9333235044082133E-2</v>
      </c>
      <c r="Y17" s="14">
        <f>IFERROR((DFC!Y15-DFC!U15)/ABS(DFC!U15),"")</f>
        <v>0.3927254607486757</v>
      </c>
      <c r="Z17" s="14">
        <f>IFERROR((DFC!Z15-DFC!V15)/ABS(DFC!V15),"")</f>
        <v>0.25507573832076536</v>
      </c>
      <c r="AA17" s="14">
        <f>IFERROR((DFC!AA15-DFC!W15)/ABS(DFC!W15),"")</f>
        <v>-4.8085703091499586E-2</v>
      </c>
      <c r="AB17" s="14">
        <f>IFERROR((DFC!AB15-DFC!X15)/ABS(DFC!X15),"")</f>
        <v>-5.2617136906955297E-2</v>
      </c>
      <c r="AC17" s="14">
        <f>IFERROR((DFC!AC15-DFC!Y15)/ABS(DFC!Y15),"")</f>
        <v>0.15873409892849216</v>
      </c>
      <c r="AD17" s="14">
        <f>IFERROR((DFC!AD15-DFC!Z15)/ABS(DFC!Z15),"")</f>
        <v>0.14173696584776013</v>
      </c>
      <c r="AE17" s="14">
        <f>IFERROR((DFC!AE15-DFC!AA15)/ABS(DFC!AA15),"")</f>
        <v>0.36546066281897099</v>
      </c>
      <c r="AF17" s="14">
        <f>IFERROR((DFC!AF15-DFC!AB15)/ABS(DFC!AB15),"")</f>
        <v>0.28460980762096588</v>
      </c>
    </row>
    <row r="18" spans="1:32" x14ac:dyDescent="0.3">
      <c r="A18" s="4" t="s">
        <v>110</v>
      </c>
      <c r="B18" s="8" t="s">
        <v>235</v>
      </c>
      <c r="C18" s="16" t="s">
        <v>229</v>
      </c>
      <c r="D18" s="16" t="s">
        <v>229</v>
      </c>
      <c r="E18" s="16" t="s">
        <v>229</v>
      </c>
      <c r="F18" s="16" t="s">
        <v>229</v>
      </c>
      <c r="G18" s="14">
        <f>IFERROR((BP!G7-BP!C7)/ABS(BP!C7),"")</f>
        <v>0.53853854063108386</v>
      </c>
      <c r="H18" s="14">
        <f>IFERROR((BP!H7-BP!D7)/ABS(BP!D7),"")</f>
        <v>0.42943543753935393</v>
      </c>
      <c r="I18" s="14">
        <f>IFERROR((BP!I7-BP!E7)/ABS(BP!E7),"")</f>
        <v>0.89230145176411901</v>
      </c>
      <c r="J18" s="14">
        <f>IFERROR((BP!J7-BP!F7)/ABS(BP!F7),"")</f>
        <v>0.635080803046845</v>
      </c>
      <c r="K18" s="14">
        <f>IFERROR((BP!K7-BP!G7)/ABS(BP!G7),"")</f>
        <v>0.63119064792607904</v>
      </c>
      <c r="L18" s="14">
        <f>IFERROR((BP!L7-BP!H7)/ABS(BP!H7),"")</f>
        <v>8.7272522915464446E-2</v>
      </c>
      <c r="M18" s="14">
        <f>IFERROR((BP!M7-BP!I7)/ABS(BP!I7),"")</f>
        <v>-0.10315415475756552</v>
      </c>
      <c r="N18" s="14">
        <f>IFERROR((BP!N7-BP!J7)/ABS(BP!J7),"")</f>
        <v>-0.2653991505749157</v>
      </c>
      <c r="O18" s="14">
        <f>IFERROR((BP!O7-BP!K7)/ABS(BP!K7),"")</f>
        <v>-0.28496466736992793</v>
      </c>
      <c r="P18" s="14">
        <f>IFERROR((BP!P7-BP!L7)/ABS(BP!L7),"")</f>
        <v>-0.25176129182401097</v>
      </c>
      <c r="Q18" s="14">
        <f>IFERROR((BP!Q7-BP!M7)/ABS(BP!M7),"")</f>
        <v>-0.18772524038151736</v>
      </c>
      <c r="R18" s="14">
        <f>IFERROR((BP!R7-BP!N7)/ABS(BP!N7),"")</f>
        <v>-0.14609433219792808</v>
      </c>
      <c r="S18" s="14">
        <f>IFERROR((BP!S7-BP!O7)/ABS(BP!O7),"")</f>
        <v>0.11743290753486554</v>
      </c>
      <c r="T18" s="14">
        <f>IFERROR((BP!T7-BP!P7)/ABS(BP!P7),"")</f>
        <v>0.31675490239711701</v>
      </c>
      <c r="U18" s="14">
        <f>IFERROR((BP!U7-BP!Q7)/ABS(BP!Q7),"")</f>
        <v>0.20274225256484044</v>
      </c>
      <c r="V18" s="14">
        <f>IFERROR((BP!V7-BP!R7)/ABS(BP!R7),"")</f>
        <v>0.38268304794706826</v>
      </c>
      <c r="W18" s="14">
        <f>IFERROR((BP!W7-BP!S7)/ABS(BP!S7),"")</f>
        <v>4.6193708808008285E-2</v>
      </c>
      <c r="X18" s="14">
        <f>IFERROR((BP!X7-BP!T7)/ABS(BP!T7),"")</f>
        <v>-0.13544012962383917</v>
      </c>
      <c r="Y18" s="14">
        <f>IFERROR((BP!Y7-BP!U7)/ABS(BP!U7),"")</f>
        <v>1.4113496830310938E-2</v>
      </c>
      <c r="Z18" s="14">
        <f>IFERROR((BP!Z7-BP!V7)/ABS(BP!V7),"")</f>
        <v>9.6645835069221822E-2</v>
      </c>
      <c r="AA18" s="14">
        <f>IFERROR((BP!AA7-BP!W7)/ABS(BP!W7),"")</f>
        <v>2.4923534819522863E-2</v>
      </c>
      <c r="AB18" s="14">
        <f>IFERROR((BP!AB7-BP!X7)/ABS(BP!X7),"")</f>
        <v>0.23433664823177985</v>
      </c>
      <c r="AC18" s="14">
        <f>IFERROR((BP!AC7-BP!Y7)/ABS(BP!Y7),"")</f>
        <v>0.24544131205138789</v>
      </c>
      <c r="AD18" s="14">
        <f>IFERROR((BP!AD7-BP!Z7)/ABS(BP!Z7),"")</f>
        <v>0.15746188883079026</v>
      </c>
      <c r="AE18" s="14">
        <f>IFERROR((BP!AE7-BP!AA7)/ABS(BP!AA7),"")</f>
        <v>0.70278205873235111</v>
      </c>
      <c r="AF18" s="14">
        <f>IFERROR((BP!AF7-BP!AB7)/ABS(BP!AB7),"")</f>
        <v>0.11272854897122012</v>
      </c>
    </row>
    <row r="19" spans="1:32" x14ac:dyDescent="0.3">
      <c r="A19" s="4" t="s">
        <v>209</v>
      </c>
      <c r="B19" s="8" t="s">
        <v>235</v>
      </c>
      <c r="C19" s="16" t="s">
        <v>229</v>
      </c>
      <c r="D19" s="16" t="s">
        <v>229</v>
      </c>
      <c r="E19" s="16" t="s">
        <v>229</v>
      </c>
      <c r="F19" s="16" t="s">
        <v>229</v>
      </c>
      <c r="G19" s="14">
        <f>IFERROR((BP!G10-BP!C10)/ABS(BP!C10),"")</f>
        <v>0.54663584483894689</v>
      </c>
      <c r="H19" s="14">
        <f>IFERROR((BP!H10-BP!D10)/ABS(BP!D10),"")</f>
        <v>0.45719078118893181</v>
      </c>
      <c r="I19" s="14">
        <f>IFERROR((BP!I10-BP!E10)/ABS(BP!E10),"")</f>
        <v>0.84439308241853328</v>
      </c>
      <c r="J19" s="14">
        <f>IFERROR((BP!J10-BP!F10)/ABS(BP!F10),"")</f>
        <v>0.57992614393387143</v>
      </c>
      <c r="K19" s="14">
        <f>IFERROR((BP!K10-BP!G10)/ABS(BP!G10),"")</f>
        <v>0.56759480509651306</v>
      </c>
      <c r="L19" s="14">
        <f>IFERROR((BP!L10-BP!H10)/ABS(BP!H10),"")</f>
        <v>0.12145260603546962</v>
      </c>
      <c r="M19" s="14">
        <f>IFERROR((BP!M10-BP!I10)/ABS(BP!I10),"")</f>
        <v>-4.1794518484747266E-2</v>
      </c>
      <c r="N19" s="14">
        <f>IFERROR((BP!N10-BP!J10)/ABS(BP!J10),"")</f>
        <v>-0.17330749735186313</v>
      </c>
      <c r="O19" s="14">
        <f>IFERROR((BP!O10-BP!K10)/ABS(BP!K10),"")</f>
        <v>-0.19881191288693517</v>
      </c>
      <c r="P19" s="14">
        <f>IFERROR((BP!P10-BP!L10)/ABS(BP!L10),"")</f>
        <v>-0.18361592274107913</v>
      </c>
      <c r="Q19" s="14">
        <f>IFERROR((BP!Q10-BP!M10)/ABS(BP!M10),"")</f>
        <v>-6.3604242534373384E-2</v>
      </c>
      <c r="R19" s="14">
        <f>IFERROR((BP!R10-BP!N10)/ABS(BP!N10),"")</f>
        <v>0.14828673484245322</v>
      </c>
      <c r="S19" s="14">
        <f>IFERROR((BP!S10-BP!O10)/ABS(BP!O10),"")</f>
        <v>0.29446821227177283</v>
      </c>
      <c r="T19" s="14">
        <f>IFERROR((BP!T10-BP!P10)/ABS(BP!P10),"")</f>
        <v>0.46749927111824874</v>
      </c>
      <c r="U19" s="14">
        <f>IFERROR((BP!U10-BP!Q10)/ABS(BP!Q10),"")</f>
        <v>0.22259187835002833</v>
      </c>
      <c r="V19" s="14">
        <f>IFERROR((BP!V10-BP!R10)/ABS(BP!R10),"")</f>
        <v>7.0324491314009099E-2</v>
      </c>
      <c r="W19" s="14">
        <f>IFERROR((BP!W10-BP!S10)/ABS(BP!S10),"")</f>
        <v>-5.3546712497434992E-2</v>
      </c>
      <c r="X19" s="14">
        <f>IFERROR((BP!X10-BP!T10)/ABS(BP!T10),"")</f>
        <v>-0.16432537690538496</v>
      </c>
      <c r="Y19" s="14">
        <f>IFERROR((BP!Y10-BP!U10)/ABS(BP!U10),"")</f>
        <v>0.12520323347873932</v>
      </c>
      <c r="Z19" s="14">
        <f>IFERROR((BP!Z10-BP!V10)/ABS(BP!V10),"")</f>
        <v>0.32085131344780304</v>
      </c>
      <c r="AA19" s="14">
        <f>IFERROR((BP!AA10-BP!W10)/ABS(BP!W10),"")</f>
        <v>0.1790407176953292</v>
      </c>
      <c r="AB19" s="14">
        <f>IFERROR((BP!AB10-BP!X10)/ABS(BP!X10),"")</f>
        <v>0.24726118196218147</v>
      </c>
      <c r="AC19" s="14">
        <f>IFERROR((BP!AC10-BP!Y10)/ABS(BP!Y10),"")</f>
        <v>6.8746738731376447E-2</v>
      </c>
      <c r="AD19" s="14">
        <f>IFERROR((BP!AD10-BP!Z10)/ABS(BP!Z10),"")</f>
        <v>-6.121044284291186E-3</v>
      </c>
      <c r="AE19" s="14">
        <f>IFERROR((BP!AE10-BP!AA10)/ABS(BP!AA10),"")</f>
        <v>0.45935365379933313</v>
      </c>
      <c r="AF19" s="14">
        <f>IFERROR((BP!AF10-BP!AB10)/ABS(BP!AB10),"")</f>
        <v>0.15510552479065892</v>
      </c>
    </row>
    <row r="20" spans="1:32" x14ac:dyDescent="0.3">
      <c r="A20" s="4" t="s">
        <v>210</v>
      </c>
      <c r="B20" s="8" t="s">
        <v>235</v>
      </c>
      <c r="C20" s="16" t="s">
        <v>229</v>
      </c>
      <c r="D20" s="16" t="s">
        <v>229</v>
      </c>
      <c r="E20" s="16" t="s">
        <v>229</v>
      </c>
      <c r="F20" s="16" t="s">
        <v>229</v>
      </c>
      <c r="G20" s="14">
        <f>IFERROR((BP!G11-BP!C11)/ABS(BP!C11),"")</f>
        <v>0.20959112748778827</v>
      </c>
      <c r="H20" s="14">
        <f>IFERROR((BP!H11-BP!D11)/ABS(BP!D11),"")</f>
        <v>0.14624145733978425</v>
      </c>
      <c r="I20" s="14">
        <f>IFERROR((BP!I11-BP!E11)/ABS(BP!E11),"")</f>
        <v>7.887408965976074E-2</v>
      </c>
      <c r="J20" s="14">
        <f>IFERROR((BP!J11-BP!F11)/ABS(BP!F11),"")</f>
        <v>3.5886494138011156E-2</v>
      </c>
      <c r="K20" s="14">
        <f>IFERROR((BP!K11-BP!G11)/ABS(BP!G11),"")</f>
        <v>3.0755745196806881E-2</v>
      </c>
      <c r="L20" s="14">
        <f>IFERROR((BP!L11-BP!H11)/ABS(BP!H11),"")</f>
        <v>8.4933932129991729E-2</v>
      </c>
      <c r="M20" s="14">
        <f>IFERROR((BP!M11-BP!I11)/ABS(BP!I11),"")</f>
        <v>0.15583489673715889</v>
      </c>
      <c r="N20" s="14">
        <f>IFERROR((BP!N11-BP!J11)/ABS(BP!J11),"")</f>
        <v>0.21807437376767602</v>
      </c>
      <c r="O20" s="14">
        <f>IFERROR((BP!O11-BP!K11)/ABS(BP!K11),"")</f>
        <v>0.19766283132258786</v>
      </c>
      <c r="P20" s="14">
        <f>IFERROR((BP!P11-BP!L11)/ABS(BP!L11),"")</f>
        <v>0.19205731132317447</v>
      </c>
      <c r="Q20" s="14">
        <f>IFERROR((BP!Q11-BP!M11)/ABS(BP!M11),"")</f>
        <v>0.13126558614787817</v>
      </c>
      <c r="R20" s="14">
        <f>IFERROR((BP!R11-BP!N11)/ABS(BP!N11),"")</f>
        <v>5.8771057356320835E-2</v>
      </c>
      <c r="S20" s="14">
        <f>IFERROR((BP!S11-BP!O11)/ABS(BP!O11),"")</f>
        <v>3.7101403183901566E-2</v>
      </c>
      <c r="T20" s="14">
        <f>IFERROR((BP!T11-BP!P11)/ABS(BP!P11),"")</f>
        <v>-3.8191756058170829E-4</v>
      </c>
      <c r="U20" s="14">
        <f>IFERROR((BP!U11-BP!Q11)/ABS(BP!Q11),"")</f>
        <v>-3.1347235620706126E-2</v>
      </c>
      <c r="V20" s="14">
        <f>IFERROR((BP!V11-BP!R11)/ABS(BP!R11),"")</f>
        <v>-3.2949459525762385E-2</v>
      </c>
      <c r="W20" s="14">
        <f>IFERROR((BP!W11-BP!S11)/ABS(BP!S11),"")</f>
        <v>-2.1239608393213337E-2</v>
      </c>
      <c r="X20" s="14">
        <f>IFERROR((BP!X11-BP!T11)/ABS(BP!T11),"")</f>
        <v>-1.8247382426998866E-2</v>
      </c>
      <c r="Y20" s="14">
        <f>IFERROR((BP!Y11-BP!U11)/ABS(BP!U11),"")</f>
        <v>1.3402294895086332E-2</v>
      </c>
      <c r="Z20" s="14">
        <f>IFERROR((BP!Z11-BP!V11)/ABS(BP!V11),"")</f>
        <v>2.5093328535397089E-2</v>
      </c>
      <c r="AA20" s="14">
        <f>IFERROR((BP!AA11-BP!W11)/ABS(BP!W11),"")</f>
        <v>1.1961903979837136E-2</v>
      </c>
      <c r="AB20" s="14">
        <f>IFERROR((BP!AB11-BP!X11)/ABS(BP!X11),"")</f>
        <v>5.0752403385748886E-3</v>
      </c>
      <c r="AC20" s="14">
        <f>IFERROR((BP!AC11-BP!Y11)/ABS(BP!Y11),"")</f>
        <v>1.4436409799268253E-2</v>
      </c>
      <c r="AD20" s="14">
        <f>IFERROR((BP!AD11-BP!Z11)/ABS(BP!Z11),"")</f>
        <v>1.0043305805272965E-2</v>
      </c>
      <c r="AE20" s="14">
        <f>IFERROR((BP!AE11-BP!AA11)/ABS(BP!AA11),"")</f>
        <v>4.167980744823812E-2</v>
      </c>
      <c r="AF20" s="14">
        <f>IFERROR((BP!AF11-BP!AB11)/ABS(BP!AB11),"")</f>
        <v>5.4478404920952898E-2</v>
      </c>
    </row>
    <row r="21" spans="1:32" x14ac:dyDescent="0.3">
      <c r="A21" s="4" t="s">
        <v>213</v>
      </c>
      <c r="B21" s="8" t="s">
        <v>235</v>
      </c>
      <c r="C21" s="16" t="s">
        <v>229</v>
      </c>
      <c r="D21" s="16" t="s">
        <v>229</v>
      </c>
      <c r="E21" s="16" t="s">
        <v>229</v>
      </c>
      <c r="F21" s="16" t="s">
        <v>229</v>
      </c>
      <c r="G21" s="14">
        <f>IFERROR((BP!G15-BP!C15)/ABS(BP!C15),"")</f>
        <v>0.28808494122702427</v>
      </c>
      <c r="H21" s="14">
        <f>IFERROR((BP!H15-BP!D15)/ABS(BP!D15),"")</f>
        <v>0.23213891832908054</v>
      </c>
      <c r="I21" s="14">
        <f>IFERROR((BP!I15-BP!E15)/ABS(BP!E15),"")</f>
        <v>0.24823552905655408</v>
      </c>
      <c r="J21" s="14">
        <f>IFERROR((BP!J15-BP!F15)/ABS(BP!F15),"")</f>
        <v>0.15613056173774953</v>
      </c>
      <c r="K21" s="14">
        <f>IFERROR((BP!K15-BP!G15)/ABS(BP!G15),"")</f>
        <v>0.14441292062643626</v>
      </c>
      <c r="L21" s="14">
        <f>IFERROR((BP!L15-BP!H15)/ABS(BP!H15),"")</f>
        <v>0.10210246964911965</v>
      </c>
      <c r="M21" s="14">
        <f>IFERROR((BP!M15-BP!I15)/ABS(BP!I15),"")</f>
        <v>0.10660390746409437</v>
      </c>
      <c r="N21" s="14">
        <f>IFERROR((BP!N15-BP!J15)/ABS(BP!J15),"")</f>
        <v>0.13503705503302565</v>
      </c>
      <c r="O21" s="14">
        <f>IFERROR((BP!O15-BP!K15)/ABS(BP!K15),"")</f>
        <v>0.12979807548854627</v>
      </c>
      <c r="P21" s="14">
        <f>IFERROR((BP!P15-BP!L15)/ABS(BP!L15),"")</f>
        <v>0.13131166119112292</v>
      </c>
      <c r="Q21" s="14">
        <f>IFERROR((BP!Q15-BP!M15)/ABS(BP!M15),"")</f>
        <v>0.11282981129300441</v>
      </c>
      <c r="R21" s="14">
        <f>IFERROR((BP!R15-BP!N15)/ABS(BP!N15),"")</f>
        <v>8.9943597869069816E-2</v>
      </c>
      <c r="S21" s="14">
        <f>IFERROR((BP!S15-BP!O15)/ABS(BP!O15),"")</f>
        <v>9.1757292111359592E-2</v>
      </c>
      <c r="T21" s="14">
        <f>IFERROR((BP!T15-BP!P15)/ABS(BP!P15),"")</f>
        <v>9.6363492991025979E-2</v>
      </c>
      <c r="U21" s="14">
        <f>IFERROR((BP!U15-BP!Q15)/ABS(BP!Q15),"")</f>
        <v>4.0780273623666673E-2</v>
      </c>
      <c r="V21" s="14">
        <f>IFERROR((BP!V15-BP!R15)/ABS(BP!R15),"")</f>
        <v>2.8238430935610599E-3</v>
      </c>
      <c r="W21" s="14">
        <f>IFERROR((BP!W15-BP!S15)/ABS(BP!S15),"")</f>
        <v>-1.338895495676992E-2</v>
      </c>
      <c r="X21" s="14">
        <f>IFERROR((BP!X15-BP!T15)/ABS(BP!T15),"")</f>
        <v>-3.3818643441794152E-2</v>
      </c>
      <c r="Y21" s="14">
        <f>IFERROR((BP!Y15-BP!U15)/ABS(BP!U15),"")</f>
        <v>5.6160761553128553E-2</v>
      </c>
      <c r="Z21" s="14">
        <f>IFERROR((BP!Z15-BP!V15)/ABS(BP!V15),"")</f>
        <v>0.10051676114532739</v>
      </c>
      <c r="AA21" s="14">
        <f>IFERROR((BP!AA15-BP!W15)/ABS(BP!W15),"")</f>
        <v>6.6763775438136927E-2</v>
      </c>
      <c r="AB21" s="14">
        <f>IFERROR((BP!AB15-BP!X15)/ABS(BP!X15),"")</f>
        <v>8.1483890828907668E-2</v>
      </c>
      <c r="AC21" s="14">
        <f>IFERROR((BP!AC15-BP!Y15)/ABS(BP!Y15),"")</f>
        <v>5.0744021194049735E-2</v>
      </c>
      <c r="AD21" s="14">
        <f>IFERROR((BP!AD15-BP!Z15)/ABS(BP!Z15),"")</f>
        <v>3.6669872934318871E-2</v>
      </c>
      <c r="AE21" s="14">
        <f>IFERROR((BP!AE15-BP!AA15)/ABS(BP!AA15),"")</f>
        <v>0.17140859740171771</v>
      </c>
      <c r="AF21" s="14">
        <f>IFERROR((BP!AF15-BP!AB15)/ABS(BP!AB15),"")</f>
        <v>0.10076856606851603</v>
      </c>
    </row>
    <row r="22" spans="1:32" x14ac:dyDescent="0.3">
      <c r="A22" s="4" t="s">
        <v>218</v>
      </c>
      <c r="B22" s="8" t="s">
        <v>235</v>
      </c>
      <c r="C22" s="16" t="s">
        <v>229</v>
      </c>
      <c r="D22" s="16" t="s">
        <v>229</v>
      </c>
      <c r="E22" s="16" t="s">
        <v>229</v>
      </c>
      <c r="F22" s="16" t="s">
        <v>229</v>
      </c>
      <c r="G22" s="14">
        <f>IFERROR((BP!G24-BP!C24)/ABS(BP!C24),"")</f>
        <v>0.14522397611947968</v>
      </c>
      <c r="H22" s="14">
        <f>IFERROR((BP!H24-BP!D24)/ABS(BP!D24),"")</f>
        <v>9.9860916898567867E-2</v>
      </c>
      <c r="I22" s="14">
        <f>IFERROR((BP!I24-BP!E24)/ABS(BP!E24),"")</f>
        <v>9.3952107358877976E-2</v>
      </c>
      <c r="J22" s="14">
        <f>IFERROR((BP!J24-BP!F24)/ABS(BP!F24),"")</f>
        <v>0.13858388703349739</v>
      </c>
      <c r="K22" s="14">
        <f>IFERROR((BP!K24-BP!G24)/ABS(BP!G24),"")</f>
        <v>1.3757166185472507E-2</v>
      </c>
      <c r="L22" s="14">
        <f>IFERROR((BP!L24-BP!H24)/ABS(BP!H24),"")</f>
        <v>2.7072998096878544E-2</v>
      </c>
      <c r="M22" s="14">
        <f>IFERROR((BP!M24-BP!I24)/ABS(BP!I24),"")</f>
        <v>1.3785116618250222E-2</v>
      </c>
      <c r="N22" s="14">
        <f>IFERROR((BP!N24-BP!J24)/ABS(BP!J24),"")</f>
        <v>8.7522395249164622E-2</v>
      </c>
      <c r="O22" s="14">
        <f>IFERROR((BP!O24-BP!K24)/ABS(BP!K24),"")</f>
        <v>-2.7897565491090608E-2</v>
      </c>
      <c r="P22" s="14">
        <f>IFERROR((BP!P24-BP!L24)/ABS(BP!L24),"")</f>
        <v>-4.2495947854737613E-2</v>
      </c>
      <c r="Q22" s="14">
        <f>IFERROR((BP!Q24-BP!M24)/ABS(BP!M24),"")</f>
        <v>-3.5198576363550088E-2</v>
      </c>
      <c r="R22" s="14">
        <f>IFERROR((BP!R24-BP!N24)/ABS(BP!N24),"")</f>
        <v>-6.5731444795514571E-2</v>
      </c>
      <c r="S22" s="14">
        <f>IFERROR((BP!S24-BP!O24)/ABS(BP!O24),"")</f>
        <v>7.4475403041168731E-2</v>
      </c>
      <c r="T22" s="14">
        <f>IFERROR((BP!T24-BP!P24)/ABS(BP!P24),"")</f>
        <v>0.1567706068062201</v>
      </c>
      <c r="U22" s="14">
        <f>IFERROR((BP!U24-BP!Q24)/ABS(BP!Q24),"")</f>
        <v>7.3757353278244911E-2</v>
      </c>
      <c r="V22" s="14">
        <f>IFERROR((BP!V24-BP!R24)/ABS(BP!R24),"")</f>
        <v>0.11722154176775772</v>
      </c>
      <c r="W22" s="14">
        <f>IFERROR((BP!W24-BP!S24)/ABS(BP!S24),"")</f>
        <v>0.1170200587537143</v>
      </c>
      <c r="X22" s="14">
        <f>IFERROR((BP!X24-BP!T24)/ABS(BP!T24),"")</f>
        <v>0.168767509182145</v>
      </c>
      <c r="Y22" s="14">
        <f>IFERROR((BP!Y24-BP!U24)/ABS(BP!U24),"")</f>
        <v>0.28402543412548537</v>
      </c>
      <c r="Z22" s="14">
        <f>IFERROR((BP!Z24-BP!V24)/ABS(BP!V24),"")</f>
        <v>0.2138380289041836</v>
      </c>
      <c r="AA22" s="14">
        <f>IFERROR((BP!AA24-BP!W24)/ABS(BP!W24),"")</f>
        <v>4.6215090033960841E-2</v>
      </c>
      <c r="AB22" s="14">
        <f>IFERROR((BP!AB24-BP!X24)/ABS(BP!X24),"")</f>
        <v>-0.11811283216102889</v>
      </c>
      <c r="AC22" s="14">
        <f>IFERROR((BP!AC24-BP!Y24)/ABS(BP!Y24),"")</f>
        <v>-9.1085787166416063E-2</v>
      </c>
      <c r="AD22" s="14">
        <f>IFERROR((BP!AD24-BP!Z24)/ABS(BP!Z24),"")</f>
        <v>2.0969001617792055E-2</v>
      </c>
      <c r="AE22" s="14">
        <f>IFERROR((BP!AE24-BP!AA24)/ABS(BP!AA24),"")</f>
        <v>0.24829493053416876</v>
      </c>
      <c r="AF22" s="14">
        <f>IFERROR((BP!AF24-BP!AB24)/ABS(BP!AB24),"")</f>
        <v>0.35701670760489296</v>
      </c>
    </row>
    <row r="23" spans="1:32" x14ac:dyDescent="0.3">
      <c r="A23" s="4" t="s">
        <v>143</v>
      </c>
      <c r="B23" s="8" t="s">
        <v>235</v>
      </c>
      <c r="C23" s="16" t="s">
        <v>229</v>
      </c>
      <c r="D23" s="16" t="s">
        <v>229</v>
      </c>
      <c r="E23" s="16" t="s">
        <v>229</v>
      </c>
      <c r="F23" s="16" t="s">
        <v>229</v>
      </c>
      <c r="G23" s="14">
        <f>IFERROR((BP!G26-BP!C26)/ABS(BP!C26),"")</f>
        <v>0.37512473286085823</v>
      </c>
      <c r="H23" s="14">
        <f>IFERROR((BP!H26-BP!D26)/ABS(BP!D26),"")</f>
        <v>0.21446704780053991</v>
      </c>
      <c r="I23" s="14">
        <f>IFERROR((BP!I26-BP!E26)/ABS(BP!E26),"")</f>
        <v>0.25121648157089971</v>
      </c>
      <c r="J23" s="14">
        <f>IFERROR((BP!J26-BP!F26)/ABS(BP!F26),"")</f>
        <v>7.1149468121146378E-2</v>
      </c>
      <c r="K23" s="14">
        <f>IFERROR((BP!K26-BP!G26)/ABS(BP!G26),"")</f>
        <v>4.8682167391684232E-2</v>
      </c>
      <c r="L23" s="14">
        <f>IFERROR((BP!L26-BP!H26)/ABS(BP!H26),"")</f>
        <v>-2.4067280034950015E-2</v>
      </c>
      <c r="M23" s="14">
        <f>IFERROR((BP!M26-BP!I26)/ABS(BP!I26),"")</f>
        <v>-4.849135713153703E-2</v>
      </c>
      <c r="N23" s="14">
        <f>IFERROR((BP!N26-BP!J26)/ABS(BP!J26),"")</f>
        <v>-7.0593731013698077E-2</v>
      </c>
      <c r="O23" s="14">
        <f>IFERROR((BP!O26-BP!K26)/ABS(BP!K26),"")</f>
        <v>-2.1936668301419757E-2</v>
      </c>
      <c r="P23" s="14">
        <f>IFERROR((BP!P26-BP!L26)/ABS(BP!L26),"")</f>
        <v>-4.6465542820074521E-2</v>
      </c>
      <c r="Q23" s="14">
        <f>IFERROR((BP!Q26-BP!M26)/ABS(BP!M26),"")</f>
        <v>-6.121352676624113E-2</v>
      </c>
      <c r="R23" s="14">
        <f>IFERROR((BP!R26-BP!N26)/ABS(BP!N26),"")</f>
        <v>-2.3139885246597922E-2</v>
      </c>
      <c r="S23" s="14">
        <f>IFERROR((BP!S26-BP!O26)/ABS(BP!O26),"")</f>
        <v>-3.4166563407040607E-2</v>
      </c>
      <c r="T23" s="14">
        <f>IFERROR((BP!T26-BP!P26)/ABS(BP!P26),"")</f>
        <v>-1.1462694217919765E-2</v>
      </c>
      <c r="U23" s="14">
        <f>IFERROR((BP!U26-BP!Q26)/ABS(BP!Q26),"")</f>
        <v>9.0991456941215464E-4</v>
      </c>
      <c r="V23" s="14">
        <f>IFERROR((BP!V26-BP!R26)/ABS(BP!R26),"")</f>
        <v>-1.4607252131877493E-2</v>
      </c>
      <c r="W23" s="14">
        <f>IFERROR((BP!W26-BP!S26)/ABS(BP!S26),"")</f>
        <v>-5.8479060177169528E-2</v>
      </c>
      <c r="X23" s="14">
        <f>IFERROR((BP!X26-BP!T26)/ABS(BP!T26),"")</f>
        <v>-0.13433594280544683</v>
      </c>
      <c r="Y23" s="14">
        <f>IFERROR((BP!Y26-BP!U26)/ABS(BP!U26),"")</f>
        <v>1.871682643977441E-2</v>
      </c>
      <c r="Z23" s="14">
        <f>IFERROR((BP!Z26-BP!V26)/ABS(BP!V26),"")</f>
        <v>-2.4397640259068858E-2</v>
      </c>
      <c r="AA23" s="14">
        <f>IFERROR((BP!AA26-BP!W26)/ABS(BP!W26),"")</f>
        <v>6.0073898554275154E-2</v>
      </c>
      <c r="AB23" s="14">
        <f>IFERROR((BP!AB26-BP!X26)/ABS(BP!X26),"")</f>
        <v>0.18663198036391396</v>
      </c>
      <c r="AC23" s="14">
        <f>IFERROR((BP!AC26-BP!Y26)/ABS(BP!Y26),"")</f>
        <v>2.1332494217188511E-2</v>
      </c>
      <c r="AD23" s="14">
        <f>IFERROR((BP!AD26-BP!Z26)/ABS(BP!Z26),"")</f>
        <v>-2.423333048999848E-2</v>
      </c>
      <c r="AE23" s="14">
        <f>IFERROR((BP!AE26-BP!AA26)/ABS(BP!AA26),"")</f>
        <v>-4.6371014508062476E-2</v>
      </c>
      <c r="AF23" s="14">
        <f>IFERROR((BP!AF26-BP!AB26)/ABS(BP!AB26),"")</f>
        <v>-0.18180450759506225</v>
      </c>
    </row>
    <row r="24" spans="1:32" x14ac:dyDescent="0.3">
      <c r="A24" s="4" t="s">
        <v>223</v>
      </c>
      <c r="B24" s="8" t="s">
        <v>235</v>
      </c>
      <c r="C24" s="16" t="s">
        <v>229</v>
      </c>
      <c r="D24" s="16" t="s">
        <v>229</v>
      </c>
      <c r="E24" s="16" t="s">
        <v>229</v>
      </c>
      <c r="F24" s="16" t="s">
        <v>229</v>
      </c>
      <c r="G24" s="14">
        <f>IFERROR((BP!G31-BP!C31)/ABS(BP!C31),"")</f>
        <v>0.47452366782873329</v>
      </c>
      <c r="H24" s="14">
        <f>IFERROR((BP!H31-BP!D31)/ABS(BP!D31),"")</f>
        <v>0.52889683284776423</v>
      </c>
      <c r="I24" s="14">
        <f>IFERROR((BP!I31-BP!E31)/ABS(BP!E31),"")</f>
        <v>0.50598491147350333</v>
      </c>
      <c r="J24" s="14">
        <f>IFERROR((BP!J31-BP!F31)/ABS(BP!F31),"")</f>
        <v>0.45937890761164663</v>
      </c>
      <c r="K24" s="14">
        <f>IFERROR((BP!K31-BP!G31)/ABS(BP!G31),"")</f>
        <v>0.53212386200315986</v>
      </c>
      <c r="L24" s="14">
        <f>IFERROR((BP!L31-BP!H31)/ABS(BP!H31),"")</f>
        <v>0.48518884216861424</v>
      </c>
      <c r="M24" s="14">
        <f>IFERROR((BP!M31-BP!I31)/ABS(BP!I31),"")</f>
        <v>0.48206119173861106</v>
      </c>
      <c r="N24" s="14">
        <f>IFERROR((BP!N31-BP!J31)/ABS(BP!J31),"")</f>
        <v>0.43234561563960655</v>
      </c>
      <c r="O24" s="14">
        <f>IFERROR((BP!O31-BP!K31)/ABS(BP!K31),"")</f>
        <v>0.36168348846017728</v>
      </c>
      <c r="P24" s="14">
        <f>IFERROR((BP!P31-BP!L31)/ABS(BP!L31),"")</f>
        <v>0.37594860771569494</v>
      </c>
      <c r="Q24" s="14">
        <f>IFERROR((BP!Q31-BP!M31)/ABS(BP!M31),"")</f>
        <v>0.34042797152550397</v>
      </c>
      <c r="R24" s="14">
        <f>IFERROR((BP!R31-BP!N31)/ABS(BP!N31),"")</f>
        <v>0.31093923194337059</v>
      </c>
      <c r="S24" s="14">
        <f>IFERROR((BP!S31-BP!O31)/ABS(BP!O31),"")</f>
        <v>0.24419445260011102</v>
      </c>
      <c r="T24" s="14">
        <f>IFERROR((BP!T31-BP!P31)/ABS(BP!P31),"")</f>
        <v>0.19690952608763265</v>
      </c>
      <c r="U24" s="14">
        <f>IFERROR((BP!U31-BP!Q31)/ABS(BP!Q31),"")</f>
        <v>7.6942476184278005E-2</v>
      </c>
      <c r="V24" s="14">
        <f>IFERROR((BP!V31-BP!R31)/ABS(BP!R31),"")</f>
        <v>-9.1006570071012899E-3</v>
      </c>
      <c r="W24" s="14">
        <f>IFERROR((BP!W31-BP!S31)/ABS(BP!S31),"")</f>
        <v>-2.1201293959427527E-2</v>
      </c>
      <c r="X24" s="14">
        <f>IFERROR((BP!X31-BP!T31)/ABS(BP!T31),"")</f>
        <v>-3.1513455878021505E-2</v>
      </c>
      <c r="Y24" s="14">
        <f>IFERROR((BP!Y31-BP!U31)/ABS(BP!U31),"")</f>
        <v>2.7732917693970519E-2</v>
      </c>
      <c r="Z24" s="14">
        <f>IFERROR((BP!Z31-BP!V31)/ABS(BP!V31),"")</f>
        <v>0.20182586110867856</v>
      </c>
      <c r="AA24" s="14">
        <f>IFERROR((BP!AA31-BP!W31)/ABS(BP!W31),"")</f>
        <v>0.12462494283985191</v>
      </c>
      <c r="AB24" s="14">
        <f>IFERROR((BP!AB31-BP!X31)/ABS(BP!X31),"")</f>
        <v>0.12839711562947137</v>
      </c>
      <c r="AC24" s="14">
        <f>IFERROR((BP!AC31-BP!Y31)/ABS(BP!Y31),"")</f>
        <v>0.14230608550708915</v>
      </c>
      <c r="AD24" s="14">
        <f>IFERROR((BP!AD31-BP!Z31)/ABS(BP!Z31),"")</f>
        <v>7.5652835341000035E-2</v>
      </c>
      <c r="AE24" s="14">
        <f>IFERROR((BP!AE31-BP!AA31)/ABS(BP!AA31),"")</f>
        <v>0.295418030401356</v>
      </c>
      <c r="AF24" s="14">
        <f>IFERROR((BP!AF31-BP!AB31)/ABS(BP!AB31),"")</f>
        <v>0.20840710360361744</v>
      </c>
    </row>
    <row r="26" spans="1:32" x14ac:dyDescent="0.3">
      <c r="A26" s="6" t="s">
        <v>236</v>
      </c>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1:32" x14ac:dyDescent="0.3">
      <c r="A27" s="3" t="s">
        <v>191</v>
      </c>
      <c r="B27" s="8" t="s">
        <v>228</v>
      </c>
      <c r="C27" s="16" t="s">
        <v>229</v>
      </c>
      <c r="D27" s="15">
        <f>IFERROR((DRE!D7-DRE!C7)/ABS(DRE!C7),"")</f>
        <v>8.8945965841125088E-2</v>
      </c>
      <c r="E27" s="15">
        <f>IFERROR((DRE!E7-DRE!D7)/ABS(DRE!D7),"")</f>
        <v>6.5362871807204986E-2</v>
      </c>
      <c r="F27" s="15">
        <f>IFERROR((DRE!F7-DRE!E7)/ABS(DRE!E7),"")</f>
        <v>4.2427651215799042E-2</v>
      </c>
      <c r="G27" s="15">
        <f>IFERROR((DRE!G7-DRE!F7)/ABS(DRE!F7),"")</f>
        <v>5.4917352454551732E-2</v>
      </c>
      <c r="H27" s="15">
        <f>IFERROR((DRE!H7-DRE!G7)/ABS(DRE!G7),"")</f>
        <v>6.5987411600240076E-2</v>
      </c>
      <c r="I27" s="15">
        <f>IFERROR((DRE!I7-DRE!H7)/ABS(DRE!H7),"")</f>
        <v>4.6736765335900064E-2</v>
      </c>
      <c r="J27" s="15">
        <f>IFERROR((DRE!J7-DRE!I7)/ABS(DRE!I7),"")</f>
        <v>3.2445117709404725E-2</v>
      </c>
      <c r="K27" s="15">
        <f>IFERROR((DRE!K7-DRE!J7)/ABS(DRE!J7),"")</f>
        <v>7.8086316352825438E-2</v>
      </c>
      <c r="L27" s="15">
        <f>IFERROR((DRE!L7-DRE!K7)/ABS(DRE!K7),"")</f>
        <v>2.4918047341986521E-2</v>
      </c>
      <c r="M27" s="15">
        <f>IFERROR((DRE!M7-DRE!L7)/ABS(DRE!L7),"")</f>
        <v>1.929914242832486E-2</v>
      </c>
      <c r="N27" s="15">
        <f>IFERROR((DRE!N7-DRE!M7)/ABS(DRE!M7),"")</f>
        <v>3.0179995448633711E-2</v>
      </c>
      <c r="O27" s="15">
        <f>IFERROR((DRE!O7-DRE!N7)/ABS(DRE!N7),"")</f>
        <v>2.0552920504770929E-2</v>
      </c>
      <c r="P27" s="15">
        <f>IFERROR((DRE!P7-DRE!O7)/ABS(DRE!O7),"")</f>
        <v>1.3011824066472711E-2</v>
      </c>
      <c r="Q27" s="15">
        <f>IFERROR((DRE!Q7-DRE!P7)/ABS(DRE!P7),"")</f>
        <v>-5.5898634666563217E-3</v>
      </c>
      <c r="R27" s="15">
        <f>IFERROR((DRE!R7-DRE!Q7)/ABS(DRE!Q7),"")</f>
        <v>-9.2783009565598294E-3</v>
      </c>
      <c r="S27" s="15">
        <f>IFERROR((DRE!S7-DRE!R7)/ABS(DRE!R7),"")</f>
        <v>3.9410075301325634E-2</v>
      </c>
      <c r="T27" s="15">
        <f>IFERROR((DRE!T7-DRE!S7)/ABS(DRE!S7),"")</f>
        <v>3.160937391066411E-3</v>
      </c>
      <c r="U27" s="15">
        <f>IFERROR((DRE!U7-DRE!T7)/ABS(DRE!T7),"")</f>
        <v>4.3282517645314281E-2</v>
      </c>
      <c r="V27" s="15">
        <f>IFERROR((DRE!V7-DRE!U7)/ABS(DRE!U7),"")</f>
        <v>3.4086667849886121E-2</v>
      </c>
      <c r="W27" s="15">
        <f>IFERROR((DRE!W7-DRE!V7)/ABS(DRE!V7),"")</f>
        <v>6.0865578113457441E-2</v>
      </c>
      <c r="X27" s="15">
        <f>IFERROR((DRE!X7-DRE!W7)/ABS(DRE!W7),"")</f>
        <v>2.0155937181178148E-2</v>
      </c>
      <c r="Y27" s="15">
        <f>IFERROR((DRE!Y7-DRE!X7)/ABS(DRE!X7),"")</f>
        <v>2.7762777857397662E-2</v>
      </c>
      <c r="Z27" s="15">
        <f>IFERROR((DRE!Z7-DRE!Y7)/ABS(DRE!Y7),"")</f>
        <v>4.2933613362154698E-2</v>
      </c>
      <c r="AA27" s="15">
        <f>IFERROR((DRE!AA7-DRE!Z7)/ABS(DRE!Z7),"")</f>
        <v>2.8915983417968496E-2</v>
      </c>
      <c r="AB27" s="15">
        <f>IFERROR((DRE!AB7-DRE!AA7)/ABS(DRE!AA7),"")</f>
        <v>5.0874999917004962E-2</v>
      </c>
      <c r="AC27" s="15">
        <f>IFERROR((DRE!AC7-DRE!AB7)/ABS(DRE!AB7),"")</f>
        <v>3.8914571728594145E-2</v>
      </c>
      <c r="AD27" s="15">
        <f>IFERROR((DRE!AD7-DRE!AC7)/ABS(DRE!AC7),"")</f>
        <v>4.6954003920138696E-2</v>
      </c>
      <c r="AE27" s="15">
        <f>IFERROR((DRE!AE7-DRE!AD7)/ABS(DRE!AD7),"")</f>
        <v>1.6513063655227693E-2</v>
      </c>
      <c r="AF27" s="15">
        <f>IFERROR((DRE!AF7-DRE!AE7)/ABS(DRE!AE7),"")</f>
        <v>2.5321400253082611E-2</v>
      </c>
    </row>
    <row r="28" spans="1:32" x14ac:dyDescent="0.3">
      <c r="A28" s="4" t="s">
        <v>192</v>
      </c>
      <c r="B28" s="8" t="s">
        <v>228</v>
      </c>
      <c r="C28" s="16" t="s">
        <v>229</v>
      </c>
      <c r="D28" s="14">
        <f>IFERROR((DRE!D8-DRE!C8)/ABS(DRE!C8),"")</f>
        <v>4.7043245800375846E-2</v>
      </c>
      <c r="E28" s="14">
        <f>IFERROR((DRE!E8-DRE!D8)/ABS(DRE!D8),"")</f>
        <v>3.0696117354708043E-2</v>
      </c>
      <c r="F28" s="14">
        <f>IFERROR((DRE!F8-DRE!E8)/ABS(DRE!E8),"")</f>
        <v>0.11882299053009465</v>
      </c>
      <c r="G28" s="14">
        <f>IFERROR((DRE!G8-DRE!F8)/ABS(DRE!F8),"")</f>
        <v>3.8568122600455876E-2</v>
      </c>
      <c r="H28" s="14">
        <f>IFERROR((DRE!H8-DRE!G8)/ABS(DRE!G8),"")</f>
        <v>1.2224904235101709E-2</v>
      </c>
      <c r="I28" s="14">
        <f>IFERROR((DRE!I8-DRE!H8)/ABS(DRE!H8),"")</f>
        <v>6.1487929737489962E-2</v>
      </c>
      <c r="J28" s="14">
        <f>IFERROR((DRE!J8-DRE!I8)/ABS(DRE!I8),"")</f>
        <v>7.6894557069469988E-2</v>
      </c>
      <c r="K28" s="14">
        <f>IFERROR((DRE!K8-DRE!J8)/ABS(DRE!J8),"")</f>
        <v>-7.1221513699353658E-2</v>
      </c>
      <c r="L28" s="14">
        <f>IFERROR((DRE!L8-DRE!K8)/ABS(DRE!K8),"")</f>
        <v>3.8644584440886906E-2</v>
      </c>
      <c r="M28" s="14">
        <f>IFERROR((DRE!M8-DRE!L8)/ABS(DRE!L8),"")</f>
        <v>4.6933953342054108E-2</v>
      </c>
      <c r="N28" s="14">
        <f>IFERROR((DRE!N8-DRE!M8)/ABS(DRE!M8),"")</f>
        <v>0.24556380478340048</v>
      </c>
      <c r="O28" s="14">
        <f>IFERROR((DRE!O8-DRE!N8)/ABS(DRE!N8),"")</f>
        <v>-0.18224188030517741</v>
      </c>
      <c r="P28" s="14">
        <f>IFERROR((DRE!P8-DRE!O8)/ABS(DRE!O8),"")</f>
        <v>9.476731770331917E-2</v>
      </c>
      <c r="Q28" s="14">
        <f>IFERROR((DRE!Q8-DRE!P8)/ABS(DRE!P8),"")</f>
        <v>2.0872972474580288E-2</v>
      </c>
      <c r="R28" s="14">
        <f>IFERROR((DRE!R8-DRE!Q8)/ABS(DRE!Q8),"")</f>
        <v>0.12853164712921031</v>
      </c>
      <c r="S28" s="14">
        <f>IFERROR((DRE!S8-DRE!R8)/ABS(DRE!R8),"")</f>
        <v>-0.11112457810279486</v>
      </c>
      <c r="T28" s="14">
        <f>IFERROR((DRE!T8-DRE!S8)/ABS(DRE!S8),"")</f>
        <v>-2.7095162507481275E-2</v>
      </c>
      <c r="U28" s="14">
        <f>IFERROR((DRE!U8-DRE!T8)/ABS(DRE!T8),"")</f>
        <v>5.5059302830658866E-2</v>
      </c>
      <c r="V28" s="14">
        <f>IFERROR((DRE!V8-DRE!U8)/ABS(DRE!U8),"")</f>
        <v>7.6396916679443566E-2</v>
      </c>
      <c r="W28" s="14">
        <f>IFERROR((DRE!W8-DRE!V8)/ABS(DRE!V8),"")</f>
        <v>-6.2253967745551683E-2</v>
      </c>
      <c r="X28" s="14">
        <f>IFERROR((DRE!X8-DRE!W8)/ABS(DRE!W8),"")</f>
        <v>3.9595561487645391E-2</v>
      </c>
      <c r="Y28" s="14">
        <f>IFERROR((DRE!Y8-DRE!X8)/ABS(DRE!X8),"")</f>
        <v>-1.0486567533985825E-2</v>
      </c>
      <c r="Z28" s="14">
        <f>IFERROR((DRE!Z8-DRE!Y8)/ABS(DRE!Y8),"")</f>
        <v>0.12646380269552973</v>
      </c>
      <c r="AA28" s="14">
        <f>IFERROR((DRE!AA8-DRE!Z8)/ABS(DRE!Z8),"")</f>
        <v>-8.7425902023870822E-2</v>
      </c>
      <c r="AB28" s="14">
        <f>IFERROR((DRE!AB8-DRE!AA8)/ABS(DRE!AA8),"")</f>
        <v>1.1811184449151765E-2</v>
      </c>
      <c r="AC28" s="14">
        <f>IFERROR((DRE!AC8-DRE!AB8)/ABS(DRE!AB8),"")</f>
        <v>0.15753802923434901</v>
      </c>
      <c r="AD28" s="14">
        <f>IFERROR((DRE!AD8-DRE!AC8)/ABS(DRE!AC8),"")</f>
        <v>5.8136999634992109E-2</v>
      </c>
      <c r="AE28" s="14">
        <f>IFERROR((DRE!AE8-DRE!AD8)/ABS(DRE!AD8),"")</f>
        <v>-9.7258908650372261E-2</v>
      </c>
      <c r="AF28" s="14">
        <f>IFERROR((DRE!AF8-DRE!AE8)/ABS(DRE!AE8),"")</f>
        <v>2.5258320061111634E-2</v>
      </c>
    </row>
    <row r="29" spans="1:32" x14ac:dyDescent="0.3">
      <c r="A29" s="4" t="s">
        <v>193</v>
      </c>
      <c r="B29" s="8" t="s">
        <v>228</v>
      </c>
      <c r="C29" s="16" t="s">
        <v>229</v>
      </c>
      <c r="D29" s="14">
        <f>IFERROR((DRE!D9-DRE!C9)/ABS(DRE!C9),"")</f>
        <v>0.16183019889988817</v>
      </c>
      <c r="E29" s="14">
        <f>IFERROR((DRE!E9-DRE!D9)/ABS(DRE!D9),"")</f>
        <v>0.11970373290902182</v>
      </c>
      <c r="F29" s="14">
        <f>IFERROR((DRE!F9-DRE!E9)/ABS(DRE!E9),"")</f>
        <v>-6.7804354569615186E-2</v>
      </c>
      <c r="G29" s="14">
        <f>IFERROR((DRE!G9-DRE!F9)/ABS(DRE!F9),"")</f>
        <v>8.3230780684227137E-2</v>
      </c>
      <c r="H29" s="14">
        <f>IFERROR((DRE!H9-DRE!G9)/ABS(DRE!G9),"")</f>
        <v>0.15525394489827002</v>
      </c>
      <c r="I29" s="14">
        <f>IFERROR((DRE!I9-DRE!H9)/ABS(DRE!H9),"")</f>
        <v>2.5276503556086405E-2</v>
      </c>
      <c r="J29" s="14">
        <f>IFERROR((DRE!J9-DRE!I9)/ABS(DRE!I9),"")</f>
        <v>-3.4504647013145977E-2</v>
      </c>
      <c r="K29" s="14">
        <f>IFERROR((DRE!K9-DRE!J9)/ABS(DRE!J9),"")</f>
        <v>0.3289214377388292</v>
      </c>
      <c r="L29" s="14">
        <f>IFERROR((DRE!L9-DRE!K9)/ABS(DRE!K9),"")</f>
        <v>8.8012186582921981E-3</v>
      </c>
      <c r="M29" s="14">
        <f>IFERROR((DRE!M9-DRE!L9)/ABS(DRE!L9),"")</f>
        <v>-1.4107779451580579E-2</v>
      </c>
      <c r="N29" s="14">
        <f>IFERROR((DRE!N9-DRE!M9)/ABS(DRE!M9),"")</f>
        <v>-0.24631219105502231</v>
      </c>
      <c r="O29" s="14">
        <f>IFERROR((DRE!O9-DRE!N9)/ABS(DRE!N9),"")</f>
        <v>0.45078334061479242</v>
      </c>
      <c r="P29" s="14">
        <f>IFERROR((DRE!P9-DRE!O9)/ABS(DRE!O9),"")</f>
        <v>-8.4753208289446394E-2</v>
      </c>
      <c r="Q29" s="14">
        <f>IFERROR((DRE!Q9-DRE!P9)/ABS(DRE!P9),"")</f>
        <v>-4.3441668653827134E-2</v>
      </c>
      <c r="R29" s="14">
        <f>IFERROR((DRE!R9-DRE!Q9)/ABS(DRE!Q9),"")</f>
        <v>-0.21965179902350199</v>
      </c>
      <c r="S29" s="14">
        <f>IFERROR((DRE!S9-DRE!R9)/ABS(DRE!R9),"")</f>
        <v>0.37174214722620624</v>
      </c>
      <c r="T29" s="14">
        <f>IFERROR((DRE!T9-DRE!S9)/ABS(DRE!S9),"")</f>
        <v>4.6443914877193404E-2</v>
      </c>
      <c r="U29" s="14">
        <f>IFERROR((DRE!U9-DRE!T9)/ABS(DRE!T9),"")</f>
        <v>2.7619142753308276E-2</v>
      </c>
      <c r="V29" s="14">
        <f>IFERROR((DRE!V9-DRE!U9)/ABS(DRE!U9),"")</f>
        <v>-2.3689516129031994E-2</v>
      </c>
      <c r="W29" s="14">
        <f>IFERROR((DRE!W9-DRE!V9)/ABS(DRE!V9),"")</f>
        <v>0.24622504496020209</v>
      </c>
      <c r="X29" s="14">
        <f>IFERROR((DRE!X9-DRE!W9)/ABS(DRE!W9),"")</f>
        <v>-1.8664500370674081E-3</v>
      </c>
      <c r="Y29" s="14">
        <f>IFERROR((DRE!Y9-DRE!X9)/ABS(DRE!X9),"")</f>
        <v>7.2893917152984156E-2</v>
      </c>
      <c r="Z29" s="14">
        <f>IFERROR((DRE!Z9-DRE!Y9)/ABS(DRE!Y9),"")</f>
        <v>-4.7965713452525649E-2</v>
      </c>
      <c r="AA29" s="14">
        <f>IFERROR((DRE!AA9-DRE!Z9)/ABS(DRE!Z9),"")</f>
        <v>0.17871810024627402</v>
      </c>
      <c r="AB29" s="14">
        <f>IFERROR((DRE!AB9-DRE!AA9)/ABS(DRE!AA9),"")</f>
        <v>8.9816681168879642E-2</v>
      </c>
      <c r="AC29" s="14">
        <f>IFERROR((DRE!AC9-DRE!AB9)/ABS(DRE!AB9),"")</f>
        <v>-7.0873874993373817E-2</v>
      </c>
      <c r="AD29" s="14">
        <f>IFERROR((DRE!AD9-DRE!AC9)/ABS(DRE!AC9),"")</f>
        <v>3.4059494689263475E-2</v>
      </c>
      <c r="AE29" s="14">
        <f>IFERROR((DRE!AE9-DRE!AD9)/ABS(DRE!AD9),"")</f>
        <v>0.15075194355570865</v>
      </c>
      <c r="AF29" s="14">
        <f>IFERROR((DRE!AF9-DRE!AE9)/ABS(DRE!AE9),"")</f>
        <v>2.5379787437560218E-2</v>
      </c>
    </row>
    <row r="30" spans="1:32" x14ac:dyDescent="0.3">
      <c r="A30" s="4" t="s">
        <v>230</v>
      </c>
      <c r="B30" s="8" t="s">
        <v>228</v>
      </c>
      <c r="C30" s="16" t="s">
        <v>229</v>
      </c>
      <c r="D30" s="14">
        <f>IFERROR((DRE!D13-DRE!C13)/ABS(DRE!C13),"")</f>
        <v>1.6575253463880533E-2</v>
      </c>
      <c r="E30" s="14">
        <f>IFERROR((DRE!E13-DRE!D13)/ABS(DRE!D13),"")</f>
        <v>-3.657434931959299E-2</v>
      </c>
      <c r="F30" s="14">
        <f>IFERROR((DRE!F13-DRE!E13)/ABS(DRE!E13),"")</f>
        <v>0.32239380088399627</v>
      </c>
      <c r="G30" s="14">
        <f>IFERROR((DRE!G13-DRE!F13)/ABS(DRE!F13),"")</f>
        <v>-0.21593441955695103</v>
      </c>
      <c r="H30" s="14">
        <f>IFERROR((DRE!H13-DRE!G13)/ABS(DRE!G13),"")</f>
        <v>-5.2146174282941611E-2</v>
      </c>
      <c r="I30" s="14">
        <f>IFERROR((DRE!I13-DRE!H13)/ABS(DRE!H13),"")</f>
        <v>9.2767546533339532E-2</v>
      </c>
      <c r="J30" s="14">
        <f>IFERROR((DRE!J13-DRE!I13)/ABS(DRE!I13),"")</f>
        <v>0.21708859294681726</v>
      </c>
      <c r="K30" s="14">
        <f>IFERROR((DRE!K13-DRE!J13)/ABS(DRE!J13),"")</f>
        <v>-0.12466886114462572</v>
      </c>
      <c r="L30" s="14">
        <f>IFERROR((DRE!L13-DRE!K13)/ABS(DRE!K13),"")</f>
        <v>0.10579250364255398</v>
      </c>
      <c r="M30" s="14">
        <f>IFERROR((DRE!M13-DRE!L13)/ABS(DRE!L13),"")</f>
        <v>3.0814171294166814E-2</v>
      </c>
      <c r="N30" s="14">
        <f>IFERROR((DRE!N13-DRE!M13)/ABS(DRE!M13),"")</f>
        <v>0.20790142117801688</v>
      </c>
      <c r="O30" s="14">
        <f>IFERROR((DRE!O13-DRE!N13)/ABS(DRE!N13),"")</f>
        <v>-0.12325371482606125</v>
      </c>
      <c r="P30" s="14">
        <f>IFERROR((DRE!P13-DRE!O13)/ABS(DRE!O13),"")</f>
        <v>5.5644158377993531E-2</v>
      </c>
      <c r="Q30" s="14">
        <f>IFERROR((DRE!Q13-DRE!P13)/ABS(DRE!P13),"")</f>
        <v>-5.7137633641231665E-2</v>
      </c>
      <c r="R30" s="14">
        <f>IFERROR((DRE!R13-DRE!Q13)/ABS(DRE!Q13),"")</f>
        <v>0.18335426140933453</v>
      </c>
      <c r="S30" s="14">
        <f>IFERROR((DRE!S13-DRE!R13)/ABS(DRE!R13),"")</f>
        <v>-0.13405135646202382</v>
      </c>
      <c r="T30" s="14">
        <f>IFERROR((DRE!T13-DRE!S13)/ABS(DRE!S13),"")</f>
        <v>2.6215637874103845E-2</v>
      </c>
      <c r="U30" s="14">
        <f>IFERROR((DRE!U13-DRE!T13)/ABS(DRE!T13),"")</f>
        <v>4.6470870033344042E-3</v>
      </c>
      <c r="V30" s="14">
        <f>IFERROR((DRE!V13-DRE!U13)/ABS(DRE!U13),"")</f>
        <v>0.19754958140698736</v>
      </c>
      <c r="W30" s="14">
        <f>IFERROR((DRE!W13-DRE!V13)/ABS(DRE!V13),"")</f>
        <v>-0.1322658682032751</v>
      </c>
      <c r="X30" s="14">
        <f>IFERROR((DRE!X13-DRE!W13)/ABS(DRE!W13),"")</f>
        <v>1.2208426352754544E-2</v>
      </c>
      <c r="Y30" s="14">
        <f>IFERROR((DRE!Y13-DRE!X13)/ABS(DRE!X13),"")</f>
        <v>7.3005560137573691E-3</v>
      </c>
      <c r="Z30" s="14">
        <f>IFERROR((DRE!Z13-DRE!Y13)/ABS(DRE!Y13),"")</f>
        <v>0.22894857915650593</v>
      </c>
      <c r="AA30" s="14">
        <f>IFERROR((DRE!AA13-DRE!Z13)/ABS(DRE!Z13),"")</f>
        <v>-0.12406186958474565</v>
      </c>
      <c r="AB30" s="14">
        <f>IFERROR((DRE!AB13-DRE!AA13)/ABS(DRE!AA13),"")</f>
        <v>2.4063270475071785E-2</v>
      </c>
      <c r="AC30" s="14">
        <f>IFERROR((DRE!AC13-DRE!AB13)/ABS(DRE!AB13),"")</f>
        <v>5.9949140064906356E-2</v>
      </c>
      <c r="AD30" s="14">
        <f>IFERROR((DRE!AD13-DRE!AC13)/ABS(DRE!AC13),"")</f>
        <v>0.22579165892049333</v>
      </c>
      <c r="AE30" s="14">
        <f>IFERROR((DRE!AE13-DRE!AD13)/ABS(DRE!AD13),"")</f>
        <v>-6.4926085309693543E-2</v>
      </c>
      <c r="AF30" s="14">
        <f>IFERROR((DRE!AF13-DRE!AE13)/ABS(DRE!AE13),"")</f>
        <v>-3.0841472858223008E-2</v>
      </c>
    </row>
    <row r="31" spans="1:32" x14ac:dyDescent="0.3">
      <c r="A31" s="3" t="s">
        <v>197</v>
      </c>
      <c r="B31" s="8" t="s">
        <v>228</v>
      </c>
      <c r="C31" s="16" t="s">
        <v>229</v>
      </c>
      <c r="D31" s="15">
        <f>IFERROR((DRE!D14-DRE!C14)/ABS(DRE!C14),"")</f>
        <v>0.53875761298585756</v>
      </c>
      <c r="E31" s="15">
        <f>IFERROR((DRE!E14-DRE!D14)/ABS(DRE!D14),"")</f>
        <v>0.38761698085697016</v>
      </c>
      <c r="F31" s="15">
        <f>IFERROR((DRE!F14-DRE!E14)/ABS(DRE!E14),"")</f>
        <v>-0.53224468726504448</v>
      </c>
      <c r="G31" s="15">
        <f>IFERROR((DRE!G14-DRE!F14)/ABS(DRE!F14),"")</f>
        <v>1.0899256726105313</v>
      </c>
      <c r="H31" s="15">
        <f>IFERROR((DRE!H14-DRE!G14)/ABS(DRE!G14),"")</f>
        <v>0.41708270023876765</v>
      </c>
      <c r="I31" s="15">
        <f>IFERROR((DRE!I14-DRE!H14)/ABS(DRE!H14),"")</f>
        <v>-3.1713758019571693E-2</v>
      </c>
      <c r="J31" s="15">
        <f>IFERROR((DRE!J14-DRE!I14)/ABS(DRE!I14),"")</f>
        <v>-0.27426507552497814</v>
      </c>
      <c r="K31" s="15">
        <f>IFERROR((DRE!K14-DRE!J14)/ABS(DRE!J14),"")</f>
        <v>1.0538354002443824</v>
      </c>
      <c r="L31" s="15">
        <f>IFERROR((DRE!L14-DRE!K14)/ABS(DRE!K14),"")</f>
        <v>-5.7262370296593153E-2</v>
      </c>
      <c r="M31" s="15">
        <f>IFERROR((DRE!M14-DRE!L14)/ABS(DRE!L14),"")</f>
        <v>-4.9997564447427582E-2</v>
      </c>
      <c r="N31" s="15">
        <f>IFERROR((DRE!N14-DRE!M14)/ABS(DRE!M14),"")</f>
        <v>-0.64006898150864833</v>
      </c>
      <c r="O31" s="15">
        <f>IFERROR((DRE!O14-DRE!N14)/ABS(DRE!N14),"")</f>
        <v>2.1207971255361899</v>
      </c>
      <c r="P31" s="15">
        <f>IFERROR((DRE!P14-DRE!O14)/ABS(DRE!O14),"")</f>
        <v>-0.19950183249764444</v>
      </c>
      <c r="Q31" s="15">
        <f>IFERROR((DRE!Q14-DRE!P14)/ABS(DRE!P14),"")</f>
        <v>-2.8679900879626425E-2</v>
      </c>
      <c r="R31" s="15">
        <f>IFERROR((DRE!R14-DRE!Q14)/ABS(DRE!Q14),"")</f>
        <v>-0.64129318768598931</v>
      </c>
      <c r="S31" s="15">
        <f>IFERROR((DRE!S14-DRE!R14)/ABS(DRE!R14),"")</f>
        <v>2.117484142686723</v>
      </c>
      <c r="T31" s="15">
        <f>IFERROR((DRE!T14-DRE!S14)/ABS(DRE!S14),"")</f>
        <v>6.5837298469303196E-2</v>
      </c>
      <c r="U31" s="15">
        <f>IFERROR((DRE!U14-DRE!T14)/ABS(DRE!T14),"")</f>
        <v>4.8824337792109491E-2</v>
      </c>
      <c r="V31" s="15">
        <f>IFERROR((DRE!V14-DRE!U14)/ABS(DRE!U14),"")</f>
        <v>-0.21931032971299189</v>
      </c>
      <c r="W31" s="15">
        <f>IFERROR((DRE!W14-DRE!V14)/ABS(DRE!V14),"")</f>
        <v>0.75958703543658823</v>
      </c>
      <c r="X31" s="15">
        <f>IFERROR((DRE!X14-DRE!W14)/ABS(DRE!W14),"")</f>
        <v>-1.1280765984409155E-2</v>
      </c>
      <c r="Y31" s="15">
        <f>IFERROR((DRE!Y14-DRE!X14)/ABS(DRE!X14),"")</f>
        <v>0.11780991279899583</v>
      </c>
      <c r="Z31" s="15">
        <f>IFERROR((DRE!Z14-DRE!Y14)/ABS(DRE!Y14),"")</f>
        <v>-0.21884036203070109</v>
      </c>
      <c r="AA31" s="15">
        <f>IFERROR((DRE!AA14-DRE!Z14)/ABS(DRE!Z14),"")</f>
        <v>0.4726544659678989</v>
      </c>
      <c r="AB31" s="15">
        <f>IFERROR((DRE!AB14-DRE!AA14)/ABS(DRE!AA14),"")</f>
        <v>0.12778462138769678</v>
      </c>
      <c r="AC31" s="15">
        <f>IFERROR((DRE!AC14-DRE!AB14)/ABS(DRE!AB14),"")</f>
        <v>-0.13946746411762087</v>
      </c>
      <c r="AD31" s="15">
        <f>IFERROR((DRE!AD14-DRE!AC14)/ABS(DRE!AC14),"")</f>
        <v>-8.9766572554365542E-2</v>
      </c>
      <c r="AE31" s="15">
        <f>IFERROR((DRE!AE14-DRE!AD14)/ABS(DRE!AD14),"")</f>
        <v>0.33833209939719161</v>
      </c>
      <c r="AF31" s="15">
        <f>IFERROR((DRE!AF14-DRE!AE14)/ABS(DRE!AE14),"")</f>
        <v>5.9543386057659693E-2</v>
      </c>
    </row>
    <row r="32" spans="1:32" x14ac:dyDescent="0.3">
      <c r="A32" s="4" t="s">
        <v>204</v>
      </c>
      <c r="B32" s="8" t="s">
        <v>228</v>
      </c>
      <c r="C32" s="16" t="s">
        <v>229</v>
      </c>
      <c r="D32" s="14">
        <f>IFERROR((DRE!D30-DRE!C30)/ABS(DRE!C30),"")</f>
        <v>0.51646655409255138</v>
      </c>
      <c r="E32" s="14">
        <f>IFERROR((DRE!E30-DRE!D30)/ABS(DRE!D30),"")</f>
        <v>0.37576494538300209</v>
      </c>
      <c r="F32" s="14">
        <f>IFERROR((DRE!F30-DRE!E30)/ABS(DRE!E30),"")</f>
        <v>-0.51702330717826128</v>
      </c>
      <c r="G32" s="14">
        <f>IFERROR((DRE!G30-DRE!F30)/ABS(DRE!F30),"")</f>
        <v>1.0290193901260463</v>
      </c>
      <c r="H32" s="14">
        <f>IFERROR((DRE!H30-DRE!G30)/ABS(DRE!G30),"")</f>
        <v>0.40314844447507231</v>
      </c>
      <c r="I32" s="14">
        <f>IFERROR((DRE!I30-DRE!H30)/ABS(DRE!H30),"")</f>
        <v>-2.9710621707958875E-2</v>
      </c>
      <c r="J32" s="14">
        <f>IFERROR((DRE!J30-DRE!I30)/ABS(DRE!I30),"")</f>
        <v>-0.26593209135867846</v>
      </c>
      <c r="K32" s="14">
        <f>IFERROR((DRE!K30-DRE!J30)/ABS(DRE!J30),"")</f>
        <v>1.0235523760754826</v>
      </c>
      <c r="L32" s="14">
        <f>IFERROR((DRE!L30-DRE!K30)/ABS(DRE!K30),"")</f>
        <v>-5.4887334466828669E-2</v>
      </c>
      <c r="M32" s="14">
        <f>IFERROR((DRE!M30-DRE!L30)/ABS(DRE!L30),"")</f>
        <v>-3.2108136309266636E-2</v>
      </c>
      <c r="N32" s="14">
        <f>IFERROR((DRE!N30-DRE!M30)/ABS(DRE!M30),"")</f>
        <v>-0.61887060354772827</v>
      </c>
      <c r="O32" s="14">
        <f>IFERROR((DRE!O30-DRE!N30)/ABS(DRE!N30),"")</f>
        <v>1.9410222578670029</v>
      </c>
      <c r="P32" s="14">
        <f>IFERROR((DRE!P30-DRE!O30)/ABS(DRE!O30),"")</f>
        <v>-0.18787740173626824</v>
      </c>
      <c r="Q32" s="14">
        <f>IFERROR((DRE!Q30-DRE!P30)/ABS(DRE!P30),"")</f>
        <v>-2.6225968655447889E-2</v>
      </c>
      <c r="R32" s="14">
        <f>IFERROR((DRE!R30-DRE!Q30)/ABS(DRE!Q30),"")</f>
        <v>-0.60246655864580911</v>
      </c>
      <c r="S32" s="14">
        <f>IFERROR((DRE!S30-DRE!R30)/ABS(DRE!R30),"")</f>
        <v>1.8053431495233105</v>
      </c>
      <c r="T32" s="14">
        <f>IFERROR((DRE!T30-DRE!S30)/ABS(DRE!S30),"")</f>
        <v>6.2015280508375244E-2</v>
      </c>
      <c r="U32" s="14">
        <f>IFERROR((DRE!U30-DRE!T30)/ABS(DRE!T30),"")</f>
        <v>4.7212517374807514E-2</v>
      </c>
      <c r="V32" s="14">
        <f>IFERROR((DRE!V30-DRE!U30)/ABS(DRE!U30),"")</f>
        <v>-0.21144323969360038</v>
      </c>
      <c r="W32" s="14">
        <f>IFERROR((DRE!W30-DRE!V30)/ABS(DRE!V30),"")</f>
        <v>0.71846164344439334</v>
      </c>
      <c r="X32" s="14">
        <f>IFERROR((DRE!X30-DRE!W30)/ABS(DRE!W30),"")</f>
        <v>-1.3127590294466526E-2</v>
      </c>
      <c r="Y32" s="14">
        <f>IFERROR((DRE!Y30-DRE!X30)/ABS(DRE!X30),"")</f>
        <v>0.11412805357845428</v>
      </c>
      <c r="Z32" s="14">
        <f>IFERROR((DRE!Z30-DRE!Y30)/ABS(DRE!Y30),"")</f>
        <v>-0.2133787855835568</v>
      </c>
      <c r="AA32" s="14">
        <f>IFERROR((DRE!AA30-DRE!Z30)/ABS(DRE!Z30),"")</f>
        <v>0.45689695851515744</v>
      </c>
      <c r="AB32" s="14">
        <f>IFERROR((DRE!AB30-DRE!AA30)/ABS(DRE!AA30),"")</f>
        <v>0.12478341531794242</v>
      </c>
      <c r="AC32" s="14">
        <f>IFERROR((DRE!AC30-DRE!AB30)/ABS(DRE!AB30),"")</f>
        <v>-0.13467534627145428</v>
      </c>
      <c r="AD32" s="14">
        <f>IFERROR((DRE!AD30-DRE!AC30)/ABS(DRE!AC30),"")</f>
        <v>-8.7819094350505916E-2</v>
      </c>
      <c r="AE32" s="14">
        <f>IFERROR((DRE!AE30-DRE!AD30)/ABS(DRE!AD30),"")</f>
        <v>0.33290957935954374</v>
      </c>
      <c r="AF32" s="14">
        <f>IFERROR((DRE!AF30-DRE!AE30)/ABS(DRE!AE30),"")</f>
        <v>5.8578173436447722E-2</v>
      </c>
    </row>
    <row r="33" spans="1:32" x14ac:dyDescent="0.3">
      <c r="A33" s="4" t="s">
        <v>198</v>
      </c>
      <c r="B33" s="8" t="s">
        <v>228</v>
      </c>
      <c r="C33" s="16" t="s">
        <v>229</v>
      </c>
      <c r="D33" s="14">
        <f>IFERROR((DRE!D15-DRE!C15)/ABS(DRE!C15),"")</f>
        <v>0.12177467553069816</v>
      </c>
      <c r="E33" s="14">
        <f>IFERROR((DRE!E15-DRE!D15)/ABS(DRE!D15),"")</f>
        <v>5.6744259469983557E-2</v>
      </c>
      <c r="F33" s="14">
        <f>IFERROR((DRE!F15-DRE!E15)/ABS(DRE!E15),"")</f>
        <v>0.10669114901033233</v>
      </c>
      <c r="G33" s="14">
        <f>IFERROR((DRE!G15-DRE!F15)/ABS(DRE!F15),"")</f>
        <v>3.5331634805203634E-2</v>
      </c>
      <c r="H33" s="14">
        <f>IFERROR((DRE!H15-DRE!G15)/ABS(DRE!G15),"")</f>
        <v>2.7531059359093519E-2</v>
      </c>
      <c r="I33" s="14">
        <f>IFERROR((DRE!I15-DRE!H15)/ABS(DRE!H15),"")</f>
        <v>4.1913603417375517E-2</v>
      </c>
      <c r="J33" s="14">
        <f>IFERROR((DRE!J15-DRE!I15)/ABS(DRE!I15),"")</f>
        <v>5.4292948513032496E-4</v>
      </c>
      <c r="K33" s="14">
        <f>IFERROR((DRE!K15-DRE!J15)/ABS(DRE!J15),"")</f>
        <v>-1.3925937946913113E-2</v>
      </c>
      <c r="L33" s="14">
        <f>IFERROR((DRE!L15-DRE!K15)/ABS(DRE!K15),"")</f>
        <v>-1.6035795103888063E-2</v>
      </c>
      <c r="M33" s="14">
        <f>IFERROR((DRE!M15-DRE!L15)/ABS(DRE!L15),"")</f>
        <v>-4.6675238602983489E-3</v>
      </c>
      <c r="N33" s="14">
        <f>IFERROR((DRE!N15-DRE!M15)/ABS(DRE!M15),"")</f>
        <v>-5.251301009825184E-3</v>
      </c>
      <c r="O33" s="14">
        <f>IFERROR((DRE!O15-DRE!N15)/ABS(DRE!N15),"")</f>
        <v>-9.7661920825216526E-3</v>
      </c>
      <c r="P33" s="14">
        <f>IFERROR((DRE!P15-DRE!O15)/ABS(DRE!O15),"")</f>
        <v>-6.4634100832182684E-2</v>
      </c>
      <c r="Q33" s="14">
        <f>IFERROR((DRE!Q15-DRE!P15)/ABS(DRE!P15),"")</f>
        <v>-1.6414465247499493E-2</v>
      </c>
      <c r="R33" s="14">
        <f>IFERROR((DRE!R15-DRE!Q15)/ABS(DRE!Q15),"")</f>
        <v>-1.1426915833695379E-2</v>
      </c>
      <c r="S33" s="14">
        <f>IFERROR((DRE!S15-DRE!R15)/ABS(DRE!R15),"")</f>
        <v>2.131263811304605E-2</v>
      </c>
      <c r="T33" s="14">
        <f>IFERROR((DRE!T15-DRE!S15)/ABS(DRE!S15),"")</f>
        <v>3.2885863670016903E-3</v>
      </c>
      <c r="U33" s="14">
        <f>IFERROR((DRE!U15-DRE!T15)/ABS(DRE!T15),"")</f>
        <v>4.296043749856854E-3</v>
      </c>
      <c r="V33" s="14">
        <f>IFERROR((DRE!V15-DRE!U15)/ABS(DRE!U15),"")</f>
        <v>-1.9992823089147434E-3</v>
      </c>
      <c r="W33" s="14">
        <f>IFERROR((DRE!W15-DRE!V15)/ABS(DRE!V15),"")</f>
        <v>-1.0832591375019955E-2</v>
      </c>
      <c r="X33" s="14">
        <f>IFERROR((DRE!X15-DRE!W15)/ABS(DRE!W15),"")</f>
        <v>-3.0741890441626198E-2</v>
      </c>
      <c r="Y33" s="14">
        <f>IFERROR((DRE!Y15-DRE!X15)/ABS(DRE!X15),"")</f>
        <v>0.10027026061695632</v>
      </c>
      <c r="Z33" s="14">
        <f>IFERROR((DRE!Z15-DRE!Y15)/ABS(DRE!Y15),"")</f>
        <v>4.2054861223827275E-2</v>
      </c>
      <c r="AA33" s="14">
        <f>IFERROR((DRE!AA15-DRE!Z15)/ABS(DRE!Z15),"")</f>
        <v>-4.3773980675275104E-2</v>
      </c>
      <c r="AB33" s="14">
        <f>IFERROR((DRE!AB15-DRE!AA15)/ABS(DRE!AA15),"")</f>
        <v>-8.2694437808135662E-3</v>
      </c>
      <c r="AC33" s="14">
        <f>IFERROR((DRE!AC15-DRE!AB15)/ABS(DRE!AB15),"")</f>
        <v>-4.0268493120684971E-2</v>
      </c>
      <c r="AD33" s="14">
        <f>IFERROR((DRE!AD15-DRE!AC15)/ABS(DRE!AC15),"")</f>
        <v>0.33715358198226975</v>
      </c>
      <c r="AE33" s="14">
        <f>IFERROR((DRE!AE15-DRE!AD15)/ABS(DRE!AD15),"")</f>
        <v>0.1180997888180208</v>
      </c>
      <c r="AF33" s="14">
        <f>IFERROR((DRE!AF15-DRE!AE15)/ABS(DRE!AE15),"")</f>
        <v>-0.32964357803241029</v>
      </c>
    </row>
    <row r="34" spans="1:32" x14ac:dyDescent="0.3">
      <c r="A34" s="3" t="s">
        <v>202</v>
      </c>
      <c r="B34" s="8" t="s">
        <v>228</v>
      </c>
      <c r="C34" s="16" t="s">
        <v>229</v>
      </c>
      <c r="D34" s="15">
        <f>IFERROR((DRE!D19-DRE!C19)/ABS(DRE!C19),"")</f>
        <v>-0.21334565705184197</v>
      </c>
      <c r="E34" s="15">
        <f>IFERROR((DRE!E19-DRE!D19)/ABS(DRE!D19),"")</f>
        <v>1.4579493811195281</v>
      </c>
      <c r="F34" s="15">
        <f>IFERROR((DRE!F19-DRE!E19)/ABS(DRE!E19),"")</f>
        <v>-0.11766209090198468</v>
      </c>
      <c r="G34" s="15">
        <f>IFERROR((DRE!G19-DRE!F19)/ABS(DRE!F19),"")</f>
        <v>0.20801233453157719</v>
      </c>
      <c r="H34" s="15">
        <f>IFERROR((DRE!H19-DRE!G19)/ABS(DRE!G19),"")</f>
        <v>1.5695272802147716E-2</v>
      </c>
      <c r="I34" s="15">
        <f>IFERROR((DRE!I19-DRE!H19)/ABS(DRE!H19),"")</f>
        <v>9.6890290976343815E-2</v>
      </c>
      <c r="J34" s="15">
        <f>IFERROR((DRE!J19-DRE!I19)/ABS(DRE!I19),"")</f>
        <v>-0.31370573283238901</v>
      </c>
      <c r="K34" s="15">
        <f>IFERROR((DRE!K19-DRE!J19)/ABS(DRE!J19),"")</f>
        <v>2.1480145935856094</v>
      </c>
      <c r="L34" s="15">
        <f>IFERROR((DRE!L19-DRE!K19)/ABS(DRE!K19),"")</f>
        <v>-0.20724139648388848</v>
      </c>
      <c r="M34" s="15">
        <f>IFERROR((DRE!M19-DRE!L19)/ABS(DRE!L19),"")</f>
        <v>7.0995622362829691E-2</v>
      </c>
      <c r="N34" s="15">
        <f>IFERROR((DRE!N19-DRE!M19)/ABS(DRE!M19),"")</f>
        <v>-0.58081488070632792</v>
      </c>
      <c r="O34" s="15">
        <f>IFERROR((DRE!O19-DRE!N19)/ABS(DRE!N19),"")</f>
        <v>1.6298497437560582</v>
      </c>
      <c r="P34" s="15">
        <f>IFERROR((DRE!P19-DRE!O19)/ABS(DRE!O19),"")</f>
        <v>-9.796631750536984E-2</v>
      </c>
      <c r="Q34" s="15">
        <f>IFERROR((DRE!Q19-DRE!P19)/ABS(DRE!P19),"")</f>
        <v>-2.963945338876868E-2</v>
      </c>
      <c r="R34" s="15">
        <f>IFERROR((DRE!R19-DRE!Q19)/ABS(DRE!Q19),"")</f>
        <v>-0.96046177986357151</v>
      </c>
      <c r="S34" s="15">
        <f>IFERROR((DRE!S19-DRE!R19)/ABS(DRE!R19),"")</f>
        <v>22.607553722596041</v>
      </c>
      <c r="T34" s="15">
        <f>IFERROR((DRE!T19-DRE!S19)/ABS(DRE!S19),"")</f>
        <v>0.13982622287605756</v>
      </c>
      <c r="U34" s="15">
        <f>IFERROR((DRE!U19-DRE!T19)/ABS(DRE!T19),"")</f>
        <v>0.12759527026572831</v>
      </c>
      <c r="V34" s="15">
        <f>IFERROR((DRE!V19-DRE!U19)/ABS(DRE!U19),"")</f>
        <v>-0.4409051508803386</v>
      </c>
      <c r="W34" s="15">
        <f>IFERROR((DRE!W19-DRE!V19)/ABS(DRE!V19),"")</f>
        <v>1.486793028220224</v>
      </c>
      <c r="X34" s="15">
        <f>IFERROR((DRE!X19-DRE!W19)/ABS(DRE!W19),"")</f>
        <v>-7.9282345621683431E-2</v>
      </c>
      <c r="Y34" s="15">
        <f>IFERROR((DRE!Y19-DRE!X19)/ABS(DRE!X19),"")</f>
        <v>0.10068569640284131</v>
      </c>
      <c r="Z34" s="15">
        <f>IFERROR((DRE!Z19-DRE!Y19)/ABS(DRE!Y19),"")</f>
        <v>-0.20939289844041126</v>
      </c>
      <c r="AA34" s="15">
        <f>IFERROR((DRE!AA19-DRE!Z19)/ABS(DRE!Z19),"")</f>
        <v>0.5467944838053147</v>
      </c>
      <c r="AB34" s="15">
        <f>IFERROR((DRE!AB19-DRE!AA19)/ABS(DRE!AA19),"")</f>
        <v>8.1326454814657431E-2</v>
      </c>
      <c r="AC34" s="15">
        <f>IFERROR((DRE!AC19-DRE!AB19)/ABS(DRE!AB19),"")</f>
        <v>-0.18509457790058434</v>
      </c>
      <c r="AD34" s="15">
        <f>IFERROR((DRE!AD19-DRE!AC19)/ABS(DRE!AC19),"")</f>
        <v>-5.0411949196596965E-2</v>
      </c>
      <c r="AE34" s="15">
        <f>IFERROR((DRE!AE19-DRE!AD19)/ABS(DRE!AD19),"")</f>
        <v>1.1843064418295304</v>
      </c>
      <c r="AF34" s="15">
        <f>IFERROR((DRE!AF19-DRE!AE19)/ABS(DRE!AE19),"")</f>
        <v>-0.35613315007161911</v>
      </c>
    </row>
    <row r="35" spans="1:32" x14ac:dyDescent="0.3">
      <c r="A35" s="4" t="s">
        <v>231</v>
      </c>
      <c r="B35" s="8" t="s">
        <v>232</v>
      </c>
      <c r="C35" s="16" t="s">
        <v>229</v>
      </c>
      <c r="D35" s="14">
        <f>IFERROR((DFC!D7-DFC!C7)/ABS(DFC!C7),"")</f>
        <v>-0.43168886700596909</v>
      </c>
      <c r="E35" s="14">
        <f>IFERROR((DFC!E7-DFC!D7)/ABS(DFC!D7),"")</f>
        <v>7.7167248424839241E-2</v>
      </c>
      <c r="F35" s="14">
        <f>IFERROR((DFC!F7-DFC!E7)/ABS(DFC!E7),"")</f>
        <v>-1.9134963750064766</v>
      </c>
      <c r="G35" s="14">
        <f>IFERROR((DFC!G7-DFC!F7)/ABS(DFC!F7),"")</f>
        <v>1.1777814258109749</v>
      </c>
      <c r="H35" s="14">
        <f>IFERROR((DFC!H7-DFC!G7)/ABS(DFC!G7),"")</f>
        <v>3.00549416725661</v>
      </c>
      <c r="I35" s="14">
        <f>IFERROR((DFC!I7-DFC!H7)/ABS(DFC!H7),"")</f>
        <v>0.21389888922614675</v>
      </c>
      <c r="J35" s="14">
        <f>IFERROR((DFC!J7-DFC!I7)/ABS(DFC!I7),"")</f>
        <v>-1.1089383198247138</v>
      </c>
      <c r="K35" s="14">
        <f>IFERROR((DFC!K7-DFC!J7)/ABS(DFC!J7),"")</f>
        <v>6.6457812772386546</v>
      </c>
      <c r="L35" s="14">
        <f>IFERROR((DFC!L7-DFC!K7)/ABS(DFC!K7),"")</f>
        <v>-1.0820324058945072</v>
      </c>
      <c r="M35" s="14">
        <f>IFERROR((DFC!M7-DFC!L7)/ABS(DFC!L7),"")</f>
        <v>2.291996675083515</v>
      </c>
      <c r="N35" s="14">
        <f>IFERROR((DFC!N7-DFC!M7)/ABS(DFC!M7),"")</f>
        <v>-5.8953495429660467</v>
      </c>
      <c r="O35" s="14">
        <f>IFERROR((DFC!O7-DFC!N7)/ABS(DFC!N7),"")</f>
        <v>3.2883672143505409</v>
      </c>
      <c r="P35" s="14">
        <f>IFERROR((DFC!P7-DFC!O7)/ABS(DFC!O7),"")</f>
        <v>-0.88865880180616552</v>
      </c>
      <c r="Q35" s="14">
        <f>IFERROR((DFC!Q7-DFC!P7)/ABS(DFC!P7),"")</f>
        <v>4.4190754257907541</v>
      </c>
      <c r="R35" s="14">
        <f>IFERROR((DFC!R7-DFC!Q7)/ABS(DFC!Q7),"")</f>
        <v>-0.20285555216321538</v>
      </c>
      <c r="S35" s="14">
        <f>IFERROR((DFC!S7-DFC!R7)/ABS(DFC!R7),"")</f>
        <v>3.9086419530570584</v>
      </c>
      <c r="T35" s="14">
        <f>IFERROR((DFC!T7-DFC!S7)/ABS(DFC!S7),"")</f>
        <v>-0.33896105088262019</v>
      </c>
      <c r="U35" s="14">
        <f>IFERROR((DFC!U7-DFC!T7)/ABS(DFC!T7),"")</f>
        <v>0.38332921362669353</v>
      </c>
      <c r="V35" s="14">
        <f>IFERROR((DFC!V7-DFC!U7)/ABS(DFC!U7),"")</f>
        <v>-0.16528560995625699</v>
      </c>
      <c r="W35" s="14">
        <f>IFERROR((DFC!W7-DFC!V7)/ABS(DFC!V7),"")</f>
        <v>0.33042896812654621</v>
      </c>
      <c r="X35" s="14">
        <f>IFERROR((DFC!X7-DFC!W7)/ABS(DFC!W7),"")</f>
        <v>-0.41657212900029922</v>
      </c>
      <c r="Y35" s="14">
        <f>IFERROR((DFC!Y7-DFC!X7)/ABS(DFC!X7),"")</f>
        <v>0.79812247307388107</v>
      </c>
      <c r="Z35" s="14">
        <f>IFERROR((DFC!Z7-DFC!Y7)/ABS(DFC!Y7),"")</f>
        <v>-0.33785992078759181</v>
      </c>
      <c r="AA35" s="14">
        <f>IFERROR((DFC!AA7-DFC!Z7)/ABS(DFC!Z7),"")</f>
        <v>0.81482847873698516</v>
      </c>
      <c r="AB35" s="14">
        <f>IFERROR((DFC!AB7-DFC!AA7)/ABS(DFC!AA7),"")</f>
        <v>-0.1311993156458181</v>
      </c>
      <c r="AC35" s="14">
        <f>IFERROR((DFC!AC7-DFC!AB7)/ABS(DFC!AB7),"")</f>
        <v>0.16585770066579794</v>
      </c>
      <c r="AD35" s="14">
        <f>IFERROR((DFC!AD7-DFC!AC7)/ABS(DFC!AC7),"")</f>
        <v>-0.25256214307508146</v>
      </c>
      <c r="AE35" s="14">
        <f>IFERROR((DFC!AE7-DFC!AD7)/ABS(DFC!AD7),"")</f>
        <v>1.5052565728471021</v>
      </c>
      <c r="AF35" s="14">
        <f>IFERROR((DFC!AF7-DFC!AE7)/ABS(DFC!AE7),"")</f>
        <v>-0.67036967376500534</v>
      </c>
    </row>
    <row r="36" spans="1:32" x14ac:dyDescent="0.3">
      <c r="A36" s="4" t="s">
        <v>233</v>
      </c>
      <c r="B36" s="8" t="s">
        <v>232</v>
      </c>
      <c r="C36" s="16" t="s">
        <v>229</v>
      </c>
      <c r="D36" s="14">
        <f>IFERROR((DFC!D9-DFC!C9)/ABS(DFC!C9),"")</f>
        <v>-0.32522604389113552</v>
      </c>
      <c r="E36" s="14">
        <f>IFERROR((DFC!E9-DFC!D9)/ABS(DFC!D9),"")</f>
        <v>6.2075503395972856E-2</v>
      </c>
      <c r="F36" s="14">
        <f>IFERROR((DFC!F9-DFC!E9)/ABS(DFC!E9),"")</f>
        <v>-1.8690084751803515</v>
      </c>
      <c r="G36" s="14">
        <f>IFERROR((DFC!G9-DFC!F9)/ABS(DFC!F9),"")</f>
        <v>1.1031380278675325</v>
      </c>
      <c r="H36" s="14">
        <f>IFERROR((DFC!H9-DFC!G9)/ABS(DFC!G9),"")</f>
        <v>4.5549824888663792</v>
      </c>
      <c r="I36" s="14">
        <f>IFERROR((DFC!I9-DFC!H9)/ABS(DFC!H9),"")</f>
        <v>0.28311474589557839</v>
      </c>
      <c r="J36" s="14">
        <f>IFERROR((DFC!J9-DFC!I9)/ABS(DFC!I9),"")</f>
        <v>-1.2478686251570692</v>
      </c>
      <c r="K36" s="14">
        <f>IFERROR((DFC!K9-DFC!J9)/ABS(DFC!J9),"")</f>
        <v>3.4342546883521892</v>
      </c>
      <c r="L36" s="14">
        <f>IFERROR((DFC!L9-DFC!K9)/ABS(DFC!K9),"")</f>
        <v>-1.2499608626026011</v>
      </c>
      <c r="M36" s="14">
        <f>IFERROR((DFC!M9-DFC!L9)/ABS(DFC!L9),"")</f>
        <v>0.51190250461103559</v>
      </c>
      <c r="N36" s="14">
        <f>IFERROR((DFC!N9-DFC!M9)/ABS(DFC!M9),"")</f>
        <v>-5.7011936714225184</v>
      </c>
      <c r="O36" s="14">
        <f>IFERROR((DFC!O9-DFC!N9)/ABS(DFC!N9),"")</f>
        <v>2.4083035135519708</v>
      </c>
      <c r="P36" s="14">
        <f>IFERROR((DFC!P9-DFC!O9)/ABS(DFC!O9),"")</f>
        <v>-0.98411837127236401</v>
      </c>
      <c r="Q36" s="14">
        <f>IFERROR((DFC!Q9-DFC!P9)/ABS(DFC!P9),"")</f>
        <v>36.060163367891924</v>
      </c>
      <c r="R36" s="14">
        <f>IFERROR((DFC!R9-DFC!Q9)/ABS(DFC!Q9),"")</f>
        <v>-0.29582494436791351</v>
      </c>
      <c r="S36" s="14">
        <f>IFERROR((DFC!S9-DFC!R9)/ABS(DFC!R9),"")</f>
        <v>5.37058071117933</v>
      </c>
      <c r="T36" s="14">
        <f>IFERROR((DFC!T9-DFC!S9)/ABS(DFC!S9),"")</f>
        <v>-0.3672949812469381</v>
      </c>
      <c r="U36" s="14">
        <f>IFERROR((DFC!U9-DFC!T9)/ABS(DFC!T9),"")</f>
        <v>0.41002195242148648</v>
      </c>
      <c r="V36" s="14">
        <f>IFERROR((DFC!V9-DFC!U9)/ABS(DFC!U9),"")</f>
        <v>-0.16257481256480408</v>
      </c>
      <c r="W36" s="14">
        <f>IFERROR((DFC!W9-DFC!V9)/ABS(DFC!V9),"")</f>
        <v>0.35122822948534904</v>
      </c>
      <c r="X36" s="14">
        <f>IFERROR((DFC!X9-DFC!W9)/ABS(DFC!W9),"")</f>
        <v>-0.43253675575905748</v>
      </c>
      <c r="Y36" s="14">
        <f>IFERROR((DFC!Y9-DFC!X9)/ABS(DFC!X9),"")</f>
        <v>0.80959127795737973</v>
      </c>
      <c r="Z36" s="14">
        <f>IFERROR((DFC!Z9-DFC!Y9)/ABS(DFC!Y9),"")</f>
        <v>-0.37189128982361991</v>
      </c>
      <c r="AA36" s="14">
        <f>IFERROR((DFC!AA9-DFC!Z9)/ABS(DFC!Z9),"")</f>
        <v>0.93069466413199631</v>
      </c>
      <c r="AB36" s="14">
        <f>IFERROR((DFC!AB9-DFC!AA9)/ABS(DFC!AA9),"")</f>
        <v>-0.14790099070923549</v>
      </c>
      <c r="AC36" s="14">
        <f>IFERROR((DFC!AC9-DFC!AB9)/ABS(DFC!AB9),"")</f>
        <v>0.1733665759741799</v>
      </c>
      <c r="AD36" s="14">
        <f>IFERROR((DFC!AD9-DFC!AC9)/ABS(DFC!AC9),"")</f>
        <v>-0.29624556701767185</v>
      </c>
      <c r="AE36" s="14">
        <f>IFERROR((DFC!AE9-DFC!AD9)/ABS(DFC!AD9),"")</f>
        <v>1.7207477192575793</v>
      </c>
      <c r="AF36" s="14">
        <f>IFERROR((DFC!AF9-DFC!AE9)/ABS(DFC!AE9),"")</f>
        <v>-0.70059961818387051</v>
      </c>
    </row>
    <row r="37" spans="1:32" x14ac:dyDescent="0.3">
      <c r="A37" s="4" t="s">
        <v>234</v>
      </c>
      <c r="B37" s="8" t="s">
        <v>232</v>
      </c>
      <c r="C37" s="16" t="s">
        <v>229</v>
      </c>
      <c r="D37" s="14">
        <f>IFERROR((DFC!D15-DFC!C15)/ABS(DFC!C15),"")</f>
        <v>0.1092010463861848</v>
      </c>
      <c r="E37" s="14">
        <f>IFERROR((DFC!E15-DFC!D15)/ABS(DFC!D15),"")</f>
        <v>9.719668834318812E-2</v>
      </c>
      <c r="F37" s="14">
        <f>IFERROR((DFC!F15-DFC!E15)/ABS(DFC!E15),"")</f>
        <v>8.1476482693819463E-2</v>
      </c>
      <c r="G37" s="14">
        <f>IFERROR((DFC!G15-DFC!F15)/ABS(DFC!F15),"")</f>
        <v>-0.16506401401885973</v>
      </c>
      <c r="H37" s="14">
        <f>IFERROR((DFC!H15-DFC!G15)/ABS(DFC!G15),"")</f>
        <v>-0.23783472843038297</v>
      </c>
      <c r="I37" s="14">
        <f>IFERROR((DFC!I15-DFC!H15)/ABS(DFC!H15),"")</f>
        <v>5.6995788563085049E-2</v>
      </c>
      <c r="J37" s="14">
        <f>IFERROR((DFC!J15-DFC!I15)/ABS(DFC!I15),"")</f>
        <v>0.2511242005120039</v>
      </c>
      <c r="K37" s="14">
        <f>IFERROR((DFC!K15-DFC!J15)/ABS(DFC!J15),"")</f>
        <v>-1.0771484013238361E-2</v>
      </c>
      <c r="L37" s="14">
        <f>IFERROR((DFC!L15-DFC!K15)/ABS(DFC!K15),"")</f>
        <v>0.24726905390528336</v>
      </c>
      <c r="M37" s="14">
        <f>IFERROR((DFC!M15-DFC!L15)/ABS(DFC!L15),"")</f>
        <v>0.13900945871727591</v>
      </c>
      <c r="N37" s="14">
        <f>IFERROR((DFC!N15-DFC!M15)/ABS(DFC!M15),"")</f>
        <v>0.2118199311350881</v>
      </c>
      <c r="O37" s="14">
        <f>IFERROR((DFC!O15-DFC!N15)/ABS(DFC!N15),"")</f>
        <v>-0.36615511617983038</v>
      </c>
      <c r="P37" s="14">
        <f>IFERROR((DFC!P15-DFC!O15)/ABS(DFC!O15),"")</f>
        <v>0.30769992667746232</v>
      </c>
      <c r="Q37" s="14">
        <f>IFERROR((DFC!Q15-DFC!P15)/ABS(DFC!P15),"")</f>
        <v>-2.2261522322008662E-2</v>
      </c>
      <c r="R37" s="14">
        <f>IFERROR((DFC!R15-DFC!Q15)/ABS(DFC!Q15),"")</f>
        <v>-0.13037789533658434</v>
      </c>
      <c r="S37" s="14">
        <f>IFERROR((DFC!S15-DFC!R15)/ABS(DFC!R15),"")</f>
        <v>-0.3830495494319972</v>
      </c>
      <c r="T37" s="14">
        <f>IFERROR((DFC!T15-DFC!S15)/ABS(DFC!S15),"")</f>
        <v>0.49796963068590844</v>
      </c>
      <c r="U37" s="14">
        <f>IFERROR((DFC!U15-DFC!T15)/ABS(DFC!T15),"")</f>
        <v>-0.21698791232272979</v>
      </c>
      <c r="V37" s="14">
        <f>IFERROR((DFC!V15-DFC!U15)/ABS(DFC!U15),"")</f>
        <v>0.22378225691517448</v>
      </c>
      <c r="W37" s="14">
        <f>IFERROR((DFC!W15-DFC!V15)/ABS(DFC!V15),"")</f>
        <v>5.6606740751634105E-2</v>
      </c>
      <c r="X37" s="14">
        <f>IFERROR((DFC!X15-DFC!W15)/ABS(DFC!W15),"")</f>
        <v>8.5783810905272095E-2</v>
      </c>
      <c r="Y37" s="14">
        <f>IFERROR((DFC!Y15-DFC!X15)/ABS(DFC!X15),"")</f>
        <v>-8.0160993782928298E-3</v>
      </c>
      <c r="Z37" s="14">
        <f>IFERROR((DFC!Z15-DFC!Y15)/ABS(DFC!Y15),"")</f>
        <v>0.10282999983069395</v>
      </c>
      <c r="AA37" s="14">
        <f>IFERROR((DFC!AA15-DFC!Z15)/ABS(DFC!Z15),"")</f>
        <v>-0.19861484688000772</v>
      </c>
      <c r="AB37" s="14">
        <f>IFERROR((DFC!AB15-DFC!AA15)/ABS(DFC!AA15),"")</f>
        <v>8.0615112953167006E-2</v>
      </c>
      <c r="AC37" s="14">
        <f>IFERROR((DFC!AC15-DFC!AB15)/ABS(DFC!AB15),"")</f>
        <v>0.2132851627542845</v>
      </c>
      <c r="AD37" s="14">
        <f>IFERROR((DFC!AD15-DFC!AC15)/ABS(DFC!AC15),"")</f>
        <v>8.6652907700687704E-2</v>
      </c>
      <c r="AE37" s="14">
        <f>IFERROR((DFC!AE15-DFC!AD15)/ABS(DFC!AD15),"")</f>
        <v>-4.1583188523637148E-2</v>
      </c>
      <c r="AF37" s="14">
        <f>IFERROR((DFC!AF15-DFC!AE15)/ABS(DFC!AE15),"")</f>
        <v>1.6630365240419789E-2</v>
      </c>
    </row>
    <row r="38" spans="1:32" x14ac:dyDescent="0.3">
      <c r="A38" s="4" t="s">
        <v>110</v>
      </c>
      <c r="B38" s="8" t="s">
        <v>235</v>
      </c>
      <c r="C38" s="16" t="s">
        <v>229</v>
      </c>
      <c r="D38" s="14">
        <f>IFERROR((BP!D7-BP!C7)/ABS(BP!C7),"")</f>
        <v>0.49444880287240162</v>
      </c>
      <c r="E38" s="14">
        <f>IFERROR((BP!E7-BP!D7)/ABS(BP!D7),"")</f>
        <v>-0.11374918144528043</v>
      </c>
      <c r="F38" s="14">
        <f>IFERROR((BP!F7-BP!E7)/ABS(BP!E7),"")</f>
        <v>0.13154828232940652</v>
      </c>
      <c r="G38" s="14">
        <f>IFERROR((BP!G7-BP!F7)/ABS(BP!F7),"")</f>
        <v>2.659134706682581E-2</v>
      </c>
      <c r="H38" s="14">
        <f>IFERROR((BP!H7-BP!G7)/ABS(BP!G7),"")</f>
        <v>0.38847225597470741</v>
      </c>
      <c r="I38" s="14">
        <f>IFERROR((BP!I7-BP!H7)/ABS(BP!H7),"")</f>
        <v>0.17322802173222571</v>
      </c>
      <c r="J38" s="14">
        <f>IFERROR((BP!J7-BP!I7)/ABS(BP!I7),"")</f>
        <v>-2.226314288740841E-2</v>
      </c>
      <c r="K38" s="14">
        <f>IFERROR((BP!K7-BP!J7)/ABS(BP!J7),"")</f>
        <v>2.4148899220649521E-2</v>
      </c>
      <c r="L38" s="14">
        <f>IFERROR((BP!L7-BP!K7)/ABS(BP!K7),"")</f>
        <v>-7.4511777840845214E-2</v>
      </c>
      <c r="M38" s="14">
        <f>IFERROR((BP!M7-BP!L7)/ABS(BP!L7),"")</f>
        <v>-3.2253041775473723E-2</v>
      </c>
      <c r="N38" s="14">
        <f>IFERROR((BP!N7-BP!M7)/ABS(BP!M7),"")</f>
        <v>-0.19914182625781532</v>
      </c>
      <c r="O38" s="14">
        <f>IFERROR((BP!O7-BP!N7)/ABS(BP!N7),"")</f>
        <v>-3.128502519325475E-3</v>
      </c>
      <c r="P38" s="14">
        <f>IFERROR((BP!P7-BP!O7)/ABS(BP!O7),"")</f>
        <v>-3.1535813435501055E-2</v>
      </c>
      <c r="Q38" s="14">
        <f>IFERROR((BP!Q7-BP!P7)/ABS(BP!P7),"")</f>
        <v>5.056904871921733E-2</v>
      </c>
      <c r="R38" s="14">
        <f>IFERROR((BP!R7-BP!Q7)/ABS(BP!Q7),"")</f>
        <v>-0.15809604377554592</v>
      </c>
      <c r="S38" s="14">
        <f>IFERROR((BP!S7-BP!R7)/ABS(BP!R7),"")</f>
        <v>0.30451999309912842</v>
      </c>
      <c r="T38" s="14">
        <f>IFERROR((BP!T7-BP!S7)/ABS(BP!S7),"")</f>
        <v>0.14121389915756627</v>
      </c>
      <c r="U38" s="14">
        <f>IFERROR((BP!U7-BP!T7)/ABS(BP!T7),"")</f>
        <v>-4.0395610579334794E-2</v>
      </c>
      <c r="V38" s="14">
        <f>IFERROR((BP!V7-BP!U7)/ABS(BP!U7),"")</f>
        <v>-3.2139823982473087E-2</v>
      </c>
      <c r="W38" s="14">
        <f>IFERROR((BP!W7-BP!V7)/ABS(BP!V7),"")</f>
        <v>-1.2947608042981548E-2</v>
      </c>
      <c r="X38" s="14">
        <f>IFERROR((BP!X7-BP!W7)/ABS(BP!W7),"")</f>
        <v>-5.6916771320211855E-2</v>
      </c>
      <c r="Y38" s="14">
        <f>IFERROR((BP!Y7-BP!X7)/ABS(BP!X7),"")</f>
        <v>0.12559904325156795</v>
      </c>
      <c r="Z38" s="14">
        <f>IFERROR((BP!Z7-BP!Y7)/ABS(BP!Y7),"")</f>
        <v>4.6628246519221879E-2</v>
      </c>
      <c r="AA38" s="14">
        <f>IFERROR((BP!AA7-BP!Z7)/ABS(BP!Z7),"")</f>
        <v>-7.7502330957381918E-2</v>
      </c>
      <c r="AB38" s="14">
        <f>IFERROR((BP!AB7-BP!AA7)/ABS(BP!AA7),"")</f>
        <v>0.1357746719097403</v>
      </c>
      <c r="AC38" s="14">
        <f>IFERROR((BP!AC7-BP!AB7)/ABS(BP!AB7),"")</f>
        <v>0.13572545324586474</v>
      </c>
      <c r="AD38" s="14">
        <f>IFERROR((BP!AD7-BP!AC7)/ABS(BP!AC7),"")</f>
        <v>-2.73067904545213E-2</v>
      </c>
      <c r="AE38" s="14">
        <f>IFERROR((BP!AE7-BP!AD7)/ABS(BP!AD7),"")</f>
        <v>0.35711810058380411</v>
      </c>
      <c r="AF38" s="14">
        <f>IFERROR((BP!AF7-BP!AE7)/ABS(BP!AE7),"")</f>
        <v>-0.25779761646464555</v>
      </c>
    </row>
    <row r="39" spans="1:32" x14ac:dyDescent="0.3">
      <c r="A39" s="4" t="s">
        <v>209</v>
      </c>
      <c r="B39" s="8" t="s">
        <v>235</v>
      </c>
      <c r="C39" s="16" t="s">
        <v>229</v>
      </c>
      <c r="D39" s="14">
        <f>IFERROR((BP!D10-BP!C10)/ABS(BP!C10),"")</f>
        <v>0.40975968041503441</v>
      </c>
      <c r="E39" s="14">
        <f>IFERROR((BP!E10-BP!D10)/ABS(BP!D10),"")</f>
        <v>-9.3480402174044408E-2</v>
      </c>
      <c r="F39" s="14">
        <f>IFERROR((BP!F10-BP!E10)/ABS(BP!E10),"")</f>
        <v>0.15968180236414645</v>
      </c>
      <c r="G39" s="14">
        <f>IFERROR((BP!G10-BP!F10)/ABS(BP!F10),"")</f>
        <v>4.358288025709784E-2</v>
      </c>
      <c r="H39" s="14">
        <f>IFERROR((BP!H10-BP!G10)/ABS(BP!G10),"")</f>
        <v>0.32823044082917818</v>
      </c>
      <c r="I39" s="14">
        <f>IFERROR((BP!I10-BP!H10)/ABS(BP!H10),"")</f>
        <v>0.14739847169692136</v>
      </c>
      <c r="J39" s="14">
        <f>IFERROR((BP!J10-BP!I10)/ABS(BP!I10),"")</f>
        <v>-6.6046030725142304E-3</v>
      </c>
      <c r="K39" s="14">
        <f>IFERROR((BP!K10-BP!J10)/ABS(BP!J10),"")</f>
        <v>3.5437705781236221E-2</v>
      </c>
      <c r="L39" s="14">
        <f>IFERROR((BP!L10-BP!K10)/ABS(BP!K10),"")</f>
        <v>-4.9787939816619484E-2</v>
      </c>
      <c r="M39" s="14">
        <f>IFERROR((BP!M10-BP!L10)/ABS(BP!L10),"")</f>
        <v>-1.9625529295492921E-2</v>
      </c>
      <c r="N39" s="14">
        <f>IFERROR((BP!N10-BP!M10)/ABS(BP!M10),"")</f>
        <v>-0.14294737126062859</v>
      </c>
      <c r="O39" s="14">
        <f>IFERROR((BP!O10-BP!N10)/ABS(BP!N10),"")</f>
        <v>3.4932603866873941E-3</v>
      </c>
      <c r="P39" s="14">
        <f>IFERROR((BP!P10-BP!O10)/ABS(BP!O10),"")</f>
        <v>-3.1765438814326731E-2</v>
      </c>
      <c r="Q39" s="14">
        <f>IFERROR((BP!Q10-BP!P10)/ABS(BP!P10),"")</f>
        <v>0.12449338573289551</v>
      </c>
      <c r="R39" s="14">
        <f>IFERROR((BP!R10-BP!Q10)/ABS(BP!Q10),"")</f>
        <v>5.0989559485910156E-2</v>
      </c>
      <c r="S39" s="14">
        <f>IFERROR((BP!S10-BP!R10)/ABS(BP!R10),"")</f>
        <v>0.13124195149546108</v>
      </c>
      <c r="T39" s="14">
        <f>IFERROR((BP!T10-BP!S10)/ABS(BP!S10),"")</f>
        <v>9.7658095688455057E-2</v>
      </c>
      <c r="U39" s="14">
        <f>IFERROR((BP!U10-BP!T10)/ABS(BP!T10),"")</f>
        <v>-6.3170587057426383E-2</v>
      </c>
      <c r="V39" s="14">
        <f>IFERROR((BP!V10-BP!U10)/ABS(BP!U10),"")</f>
        <v>-7.9905661445076104E-2</v>
      </c>
      <c r="W39" s="14">
        <f>IFERROR((BP!W10-BP!V10)/ABS(BP!V10),"")</f>
        <v>3.2062485953760563E-4</v>
      </c>
      <c r="X39" s="14">
        <f>IFERROR((BP!X10-BP!W10)/ABS(BP!W10),"")</f>
        <v>-3.0818501543092149E-2</v>
      </c>
      <c r="Y39" s="14">
        <f>IFERROR((BP!Y10-BP!X10)/ABS(BP!X10),"")</f>
        <v>0.26140420628953948</v>
      </c>
      <c r="Z39" s="14">
        <f>IFERROR((BP!Z10-BP!Y10)/ABS(BP!Y10),"")</f>
        <v>8.007849552551255E-2</v>
      </c>
      <c r="AA39" s="14">
        <f>IFERROR((BP!AA10-BP!Z10)/ABS(BP!Z10),"")</f>
        <v>-0.10707682579259727</v>
      </c>
      <c r="AB39" s="14">
        <f>IFERROR((BP!AB10-BP!AA10)/ABS(BP!AA10),"")</f>
        <v>2.525930034386448E-2</v>
      </c>
      <c r="AC39" s="14">
        <f>IFERROR((BP!AC10-BP!AB10)/ABS(BP!AB10),"")</f>
        <v>8.0865540586400192E-2</v>
      </c>
      <c r="AD39" s="14">
        <f>IFERROR((BP!AD10-BP!AC10)/ABS(BP!AC10),"")</f>
        <v>4.4169009564578718E-3</v>
      </c>
      <c r="AE39" s="14">
        <f>IFERROR((BP!AE10-BP!AD10)/ABS(BP!AD10),"")</f>
        <v>0.31111609653038108</v>
      </c>
      <c r="AF39" s="14">
        <f>IFERROR((BP!AF10-BP!AE10)/ABS(BP!AE10),"")</f>
        <v>-0.18848821936547061</v>
      </c>
    </row>
    <row r="40" spans="1:32" x14ac:dyDescent="0.3">
      <c r="A40" s="4" t="s">
        <v>210</v>
      </c>
      <c r="B40" s="8" t="s">
        <v>235</v>
      </c>
      <c r="C40" s="16" t="s">
        <v>229</v>
      </c>
      <c r="D40" s="14">
        <f>IFERROR((BP!D11-BP!C11)/ABS(BP!C11),"")</f>
        <v>5.0599161224551915E-2</v>
      </c>
      <c r="E40" s="14">
        <f>IFERROR((BP!E11-BP!D11)/ABS(BP!D11),"")</f>
        <v>5.8747346865496312E-2</v>
      </c>
      <c r="F40" s="14">
        <f>IFERROR((BP!F11-BP!E11)/ABS(BP!E11),"")</f>
        <v>5.4640556395237301E-2</v>
      </c>
      <c r="G40" s="14">
        <f>IFERROR((BP!G11-BP!F11)/ABS(BP!F11),"")</f>
        <v>3.1109384630220161E-2</v>
      </c>
      <c r="H40" s="14">
        <f>IFERROR((BP!H11-BP!G11)/ABS(BP!G11),"")</f>
        <v>-4.4236550055687844E-3</v>
      </c>
      <c r="I40" s="14">
        <f>IFERROR((BP!I11-BP!H11)/ABS(BP!H11),"")</f>
        <v>-3.4777814788139027E-3</v>
      </c>
      <c r="J40" s="14">
        <f>IFERROR((BP!J11-BP!I11)/ABS(BP!I11),"")</f>
        <v>1.2618542803782036E-2</v>
      </c>
      <c r="K40" s="14">
        <f>IFERROR((BP!K11-BP!J11)/ABS(BP!J11),"")</f>
        <v>2.6002296726868792E-2</v>
      </c>
      <c r="L40" s="14">
        <f>IFERROR((BP!L11-BP!K11)/ABS(BP!K11),"")</f>
        <v>4.7905445828175776E-2</v>
      </c>
      <c r="M40" s="14">
        <f>IFERROR((BP!M11-BP!L11)/ABS(BP!L11),"")</f>
        <v>6.1645434279508263E-2</v>
      </c>
      <c r="N40" s="14">
        <f>IFERROR((BP!N11-BP!M11)/ABS(BP!M11),"")</f>
        <v>6.7146095755701435E-2</v>
      </c>
      <c r="O40" s="14">
        <f>IFERROR((BP!O11-BP!N11)/ABS(BP!N11),"")</f>
        <v>8.8093486775465048E-3</v>
      </c>
      <c r="P40" s="14">
        <f>IFERROR((BP!P11-BP!O11)/ABS(BP!O11),"")</f>
        <v>4.3000847655418527E-2</v>
      </c>
      <c r="Q40" s="14">
        <f>IFERROR((BP!Q11-BP!P11)/ABS(BP!P11),"")</f>
        <v>7.5043650026545491E-3</v>
      </c>
      <c r="R40" s="14">
        <f>IFERROR((BP!R11-BP!Q11)/ABS(BP!Q11),"")</f>
        <v>-1.2394843510790312E-3</v>
      </c>
      <c r="S40" s="14">
        <f>IFERROR((BP!S11-BP!R11)/ABS(BP!R11),"")</f>
        <v>-1.1837749257232962E-2</v>
      </c>
      <c r="T40" s="14">
        <f>IFERROR((BP!T11-BP!S11)/ABS(BP!S11),"")</f>
        <v>5.3043069030736644E-3</v>
      </c>
      <c r="U40" s="14">
        <f>IFERROR((BP!U11-BP!T11)/ABS(BP!T11),"")</f>
        <v>-2.370524760573043E-2</v>
      </c>
      <c r="V40" s="14">
        <f>IFERROR((BP!V11-BP!U11)/ABS(BP!U11),"")</f>
        <v>-2.8915087218807129E-3</v>
      </c>
      <c r="W40" s="14">
        <f>IFERROR((BP!W11-BP!V11)/ABS(BP!V11),"")</f>
        <v>1.2773999768014974E-4</v>
      </c>
      <c r="X40" s="14">
        <f>IFERROR((BP!X11-BP!W11)/ABS(BP!W11),"")</f>
        <v>8.3776818341171639E-3</v>
      </c>
      <c r="Y40" s="14">
        <f>IFERROR((BP!Y11-BP!X11)/ABS(BP!X11),"")</f>
        <v>7.7684794120904113E-3</v>
      </c>
      <c r="Z40" s="14">
        <f>IFERROR((BP!Z11-BP!Y11)/ABS(BP!Y11),"")</f>
        <v>8.6115527703757525E-3</v>
      </c>
      <c r="AA40" s="14">
        <f>IFERROR((BP!AA11-BP!Z11)/ABS(BP!Z11),"")</f>
        <v>-1.2683875879740637E-2</v>
      </c>
      <c r="AB40" s="14">
        <f>IFERROR((BP!AB11-BP!AA11)/ABS(BP!AA11),"")</f>
        <v>1.5154097556559082E-3</v>
      </c>
      <c r="AC40" s="14">
        <f>IFERROR((BP!AC11-BP!AB11)/ABS(BP!AB11),"")</f>
        <v>1.7154733429992495E-2</v>
      </c>
      <c r="AD40" s="14">
        <f>IFERROR((BP!AD11-BP!AC11)/ABS(BP!AC11),"")</f>
        <v>4.2436738199917654E-3</v>
      </c>
      <c r="AE40" s="14">
        <f>IFERROR((BP!AE11-BP!AD11)/ABS(BP!AD11),"")</f>
        <v>1.8240766661158925E-2</v>
      </c>
      <c r="AF40" s="14">
        <f>IFERROR((BP!AF11-BP!AE11)/ABS(BP!AE11),"")</f>
        <v>1.3820527413243395E-2</v>
      </c>
    </row>
    <row r="41" spans="1:32" x14ac:dyDescent="0.3">
      <c r="A41" s="4" t="s">
        <v>213</v>
      </c>
      <c r="B41" s="8" t="s">
        <v>235</v>
      </c>
      <c r="C41" s="16" t="s">
        <v>229</v>
      </c>
      <c r="D41" s="14">
        <f>IFERROR((BP!D15-BP!C15)/ABS(BP!C15),"")</f>
        <v>0.10848109486178432</v>
      </c>
      <c r="E41" s="14">
        <f>IFERROR((BP!E15-BP!D15)/ABS(BP!D15),"")</f>
        <v>2.5533238680590192E-2</v>
      </c>
      <c r="F41" s="14">
        <f>IFERROR((BP!F15-BP!E15)/ABS(BP!E15),"")</f>
        <v>9.8055372568116875E-2</v>
      </c>
      <c r="G41" s="14">
        <f>IFERROR((BP!G15-BP!F15)/ABS(BP!F15),"")</f>
        <v>3.1910972167411941E-2</v>
      </c>
      <c r="H41" s="14">
        <f>IFERROR((BP!H15-BP!G15)/ABS(BP!G15),"")</f>
        <v>6.0335893617524942E-2</v>
      </c>
      <c r="I41" s="14">
        <f>IFERROR((BP!I15-BP!H15)/ABS(BP!H15),"")</f>
        <v>3.8930761545554832E-2</v>
      </c>
      <c r="J41" s="14">
        <f>IFERROR((BP!J15-BP!I15)/ABS(BP!I15),"")</f>
        <v>1.7031918379895362E-2</v>
      </c>
      <c r="K41" s="14">
        <f>IFERROR((BP!K15-BP!J15)/ABS(BP!J15),"")</f>
        <v>2.1452324302840668E-2</v>
      </c>
      <c r="L41" s="14">
        <f>IFERROR((BP!L15-BP!K15)/ABS(BP!K15),"")</f>
        <v>2.1133880919314646E-2</v>
      </c>
      <c r="M41" s="14">
        <f>IFERROR((BP!M15-BP!L15)/ABS(BP!L15),"")</f>
        <v>4.3174180234790305E-2</v>
      </c>
      <c r="N41" s="14">
        <f>IFERROR((BP!N15-BP!M15)/ABS(BP!M15),"")</f>
        <v>4.3163597856679697E-2</v>
      </c>
      <c r="O41" s="14">
        <f>IFERROR((BP!O15-BP!N15)/ABS(BP!N15),"")</f>
        <v>1.6737616700164399E-2</v>
      </c>
      <c r="P41" s="14">
        <f>IFERROR((BP!P15-BP!O15)/ABS(BP!O15),"")</f>
        <v>2.2501889660086975E-2</v>
      </c>
      <c r="Q41" s="14">
        <f>IFERROR((BP!Q15-BP!P15)/ABS(BP!P15),"")</f>
        <v>2.6132202079634435E-2</v>
      </c>
      <c r="R41" s="14">
        <f>IFERROR((BP!R15-BP!Q15)/ABS(BP!Q15),"")</f>
        <v>2.1710124473460362E-2</v>
      </c>
      <c r="S41" s="14">
        <f>IFERROR((BP!S15-BP!R15)/ABS(BP!R15),"")</f>
        <v>1.8429494302761251E-2</v>
      </c>
      <c r="T41" s="14">
        <f>IFERROR((BP!T15-BP!S15)/ABS(BP!S15),"")</f>
        <v>2.6815897120943427E-2</v>
      </c>
      <c r="U41" s="14">
        <f>IFERROR((BP!U15-BP!T15)/ABS(BP!T15),"")</f>
        <v>-2.5890445201791089E-2</v>
      </c>
      <c r="V41" s="14">
        <f>IFERROR((BP!V15-BP!U15)/ABS(BP!U15),"")</f>
        <v>-1.5550832852778316E-2</v>
      </c>
      <c r="W41" s="14">
        <f>IFERROR((BP!W15-BP!V15)/ABS(BP!V15),"")</f>
        <v>1.9643974332097763E-3</v>
      </c>
      <c r="X41" s="14">
        <f>IFERROR((BP!X15-BP!W15)/ABS(BP!W15),"")</f>
        <v>5.5536894707823676E-3</v>
      </c>
      <c r="Y41" s="14">
        <f>IFERROR((BP!Y15-BP!X15)/ABS(BP!X15),"")</f>
        <v>6.4827304158270788E-2</v>
      </c>
      <c r="Z41" s="14">
        <f>IFERROR((BP!Z15-BP!Y15)/ABS(BP!Y15),"")</f>
        <v>2.5793466657373566E-2</v>
      </c>
      <c r="AA41" s="14">
        <f>IFERROR((BP!AA15-BP!Z15)/ABS(BP!Z15),"")</f>
        <v>-2.8765975042426575E-2</v>
      </c>
      <c r="AB41" s="14">
        <f>IFERROR((BP!AB15-BP!AA15)/ABS(BP!AA15),"")</f>
        <v>1.9429175948138425E-2</v>
      </c>
      <c r="AC41" s="14">
        <f>IFERROR((BP!AC15-BP!AB15)/ABS(BP!AB15),"")</f>
        <v>3.4560877824010378E-2</v>
      </c>
      <c r="AD41" s="14">
        <f>IFERROR((BP!AD15-BP!AC15)/ABS(BP!AC15),"")</f>
        <v>1.205351759043243E-2</v>
      </c>
      <c r="AE41" s="14">
        <f>IFERROR((BP!AE15-BP!AD15)/ABS(BP!AD15),"")</f>
        <v>9.7467879243037375E-2</v>
      </c>
      <c r="AF41" s="14">
        <f>IFERROR((BP!AF15-BP!AE15)/ABS(BP!AE15),"")</f>
        <v>-4.2045965254244956E-2</v>
      </c>
    </row>
    <row r="42" spans="1:32" x14ac:dyDescent="0.3">
      <c r="A42" s="4" t="s">
        <v>218</v>
      </c>
      <c r="B42" s="8" t="s">
        <v>235</v>
      </c>
      <c r="C42" s="16" t="s">
        <v>229</v>
      </c>
      <c r="D42" s="14">
        <f>IFERROR((BP!D24-BP!C24)/ABS(BP!C24),"")</f>
        <v>1.1108069970473155E-2</v>
      </c>
      <c r="E42" s="14">
        <f>IFERROR((BP!E24-BP!D24)/ABS(BP!D24),"")</f>
        <v>4.6714269891594676E-2</v>
      </c>
      <c r="F42" s="14">
        <f>IFERROR((BP!F24-BP!E24)/ABS(BP!E24),"")</f>
        <v>-5.5416029430000381E-2</v>
      </c>
      <c r="G42" s="14">
        <f>IFERROR((BP!G24-BP!F24)/ABS(BP!F24),"")</f>
        <v>0.1455766124985706</v>
      </c>
      <c r="H42" s="14">
        <f>IFERROR((BP!H24-BP!G24)/ABS(BP!G24),"")</f>
        <v>-2.8942571836930969E-2</v>
      </c>
      <c r="I42" s="14">
        <f>IFERROR((BP!I24-BP!H24)/ABS(BP!H24),"")</f>
        <v>4.1090981375529169E-2</v>
      </c>
      <c r="J42" s="14">
        <f>IFERROR((BP!J24-BP!I24)/ABS(BP!I24),"")</f>
        <v>-1.6878269527109985E-2</v>
      </c>
      <c r="K42" s="14">
        <f>IFERROR((BP!K24-BP!J24)/ABS(BP!J24),"")</f>
        <v>1.9983256008204248E-2</v>
      </c>
      <c r="L42" s="14">
        <f>IFERROR((BP!L24-BP!K24)/ABS(BP!K24),"")</f>
        <v>-1.6187606524679876E-2</v>
      </c>
      <c r="M42" s="14">
        <f>IFERROR((BP!M24-BP!L24)/ABS(BP!L24),"")</f>
        <v>2.76217405381004E-2</v>
      </c>
      <c r="N42" s="14">
        <f>IFERROR((BP!N24-BP!M24)/ABS(BP!M24),"")</f>
        <v>5.4628719261406625E-2</v>
      </c>
      <c r="O42" s="14">
        <f>IFERROR((BP!O24-BP!N24)/ABS(BP!N24),"")</f>
        <v>-8.826870080525713E-2</v>
      </c>
      <c r="P42" s="14">
        <f>IFERROR((BP!P24-BP!O24)/ABS(BP!O24),"")</f>
        <v>-3.0961841198110098E-2</v>
      </c>
      <c r="Q42" s="14">
        <f>IFERROR((BP!Q24-BP!P24)/ABS(BP!P24),"")</f>
        <v>3.54534960030784E-2</v>
      </c>
      <c r="R42" s="14">
        <f>IFERROR((BP!R24-BP!Q24)/ABS(BP!Q24),"")</f>
        <v>2.1253105232551875E-2</v>
      </c>
      <c r="S42" s="14">
        <f>IFERROR((BP!S24-BP!R24)/ABS(BP!R24),"")</f>
        <v>4.8555952900614673E-2</v>
      </c>
      <c r="T42" s="14">
        <f>IFERROR((BP!T24-BP!S24)/ABS(BP!S24),"")</f>
        <v>4.3257812885172997E-2</v>
      </c>
      <c r="U42" s="14">
        <f>IFERROR((BP!U24-BP!T24)/ABS(BP!T24),"")</f>
        <v>-3.8853685623408955E-2</v>
      </c>
      <c r="V42" s="14">
        <f>IFERROR((BP!V24-BP!U24)/ABS(BP!U24),"")</f>
        <v>6.2591995556151414E-2</v>
      </c>
      <c r="W42" s="14">
        <f>IFERROR((BP!W24-BP!V24)/ABS(BP!V24),"")</f>
        <v>4.836685324053356E-2</v>
      </c>
      <c r="X42" s="14">
        <f>IFERROR((BP!X24-BP!W24)/ABS(BP!W24),"")</f>
        <v>9.158812847196908E-2</v>
      </c>
      <c r="Y42" s="14">
        <f>IFERROR((BP!Y24-BP!X24)/ABS(BP!X24),"")</f>
        <v>5.5929689933894515E-2</v>
      </c>
      <c r="Z42" s="14">
        <f>IFERROR((BP!Z24-BP!Y24)/ABS(BP!Y24),"")</f>
        <v>4.5085861509427862E-3</v>
      </c>
      <c r="AA42" s="14">
        <f>IFERROR((BP!AA24-BP!Z24)/ABS(BP!Z24),"")</f>
        <v>-9.6405619502761358E-2</v>
      </c>
      <c r="AB42" s="14">
        <f>IFERROR((BP!AB24-BP!AA24)/ABS(BP!AA24),"")</f>
        <v>-7.9866489945638955E-2</v>
      </c>
      <c r="AC42" s="14">
        <f>IFERROR((BP!AC24-BP!AB24)/ABS(BP!AB24),"")</f>
        <v>8.8290586295414045E-2</v>
      </c>
      <c r="AD42" s="14">
        <f>IFERROR((BP!AD24-BP!AC24)/ABS(BP!AC24),"")</f>
        <v>0.1283486536333911</v>
      </c>
      <c r="AE42" s="14">
        <f>IFERROR((BP!AE24-BP!AD24)/ABS(BP!AD24),"")</f>
        <v>0.10478602449883563</v>
      </c>
      <c r="AF42" s="14">
        <f>IFERROR((BP!AF24-BP!AE24)/ABS(BP!AE24),"")</f>
        <v>2.7366596497172165E-4</v>
      </c>
    </row>
    <row r="43" spans="1:32" x14ac:dyDescent="0.3">
      <c r="A43" s="4" t="s">
        <v>143</v>
      </c>
      <c r="B43" s="8" t="s">
        <v>235</v>
      </c>
      <c r="C43" s="16" t="s">
        <v>229</v>
      </c>
      <c r="D43" s="14">
        <f>IFERROR((BP!D26-BP!C26)/ABS(BP!C26),"")</f>
        <v>0.22212245426332392</v>
      </c>
      <c r="E43" s="14">
        <f>IFERROR((BP!E26-BP!D26)/ABS(BP!D26),"")</f>
        <v>-1.3339685564554549E-2</v>
      </c>
      <c r="F43" s="14">
        <f>IFERROR((BP!F26-BP!E26)/ABS(BP!E26),"")</f>
        <v>0.18775148881377757</v>
      </c>
      <c r="G43" s="14">
        <f>IFERROR((BP!G26-BP!F26)/ABS(BP!F26),"")</f>
        <v>-3.986096619012134E-2</v>
      </c>
      <c r="H43" s="14">
        <f>IFERROR((BP!H26-BP!G26)/ABS(BP!G26),"")</f>
        <v>7.9340232643543493E-2</v>
      </c>
      <c r="I43" s="14">
        <f>IFERROR((BP!I26-BP!H26)/ABS(BP!H26),"")</f>
        <v>1.6516380060984669E-2</v>
      </c>
      <c r="J43" s="14">
        <f>IFERROR((BP!J26-BP!I26)/ABS(BP!I26),"")</f>
        <v>1.6817948166458405E-2</v>
      </c>
      <c r="K43" s="14">
        <f>IFERROR((BP!K26-BP!J26)/ABS(BP!J26),"")</f>
        <v>-5.9999829212235088E-2</v>
      </c>
      <c r="L43" s="14">
        <f>IFERROR((BP!L26-BP!K26)/ABS(BP!K26),"")</f>
        <v>4.463966076091893E-3</v>
      </c>
      <c r="M43" s="14">
        <f>IFERROR((BP!M26-BP!L26)/ABS(BP!L26),"")</f>
        <v>-8.9233597168169813E-3</v>
      </c>
      <c r="N43" s="14">
        <f>IFERROR((BP!N26-BP!M26)/ABS(BP!M26),"")</f>
        <v>-6.8014804418992251E-3</v>
      </c>
      <c r="O43" s="14">
        <f>IFERROR((BP!O26-BP!N26)/ABS(BP!N26),"")</f>
        <v>-1.0788145596781968E-2</v>
      </c>
      <c r="P43" s="14">
        <f>IFERROR((BP!P26-BP!O26)/ABS(BP!O26),"")</f>
        <v>-2.0727010605961875E-2</v>
      </c>
      <c r="Q43" s="14">
        <f>IFERROR((BP!Q26-BP!P26)/ABS(BP!P26),"")</f>
        <v>-2.4251995478491512E-2</v>
      </c>
      <c r="R43" s="14">
        <f>IFERROR((BP!R26-BP!Q26)/ABS(BP!Q26),"")</f>
        <v>3.3478908623825597E-2</v>
      </c>
      <c r="S43" s="14">
        <f>IFERROR((BP!S26-BP!R26)/ABS(BP!R26),"")</f>
        <v>-2.1954248692057296E-2</v>
      </c>
      <c r="T43" s="14">
        <f>IFERROR((BP!T26-BP!S26)/ABS(BP!S26),"")</f>
        <v>2.2927824652647084E-3</v>
      </c>
      <c r="U43" s="14">
        <f>IFERROR((BP!U26-BP!T26)/ABS(BP!T26),"")</f>
        <v>-1.2039458567288939E-2</v>
      </c>
      <c r="V43" s="14">
        <f>IFERROR((BP!V26-BP!U26)/ABS(BP!U26),"")</f>
        <v>1.7456822845724675E-2</v>
      </c>
      <c r="W43" s="14">
        <f>IFERROR((BP!W26-BP!V26)/ABS(BP!V26),"")</f>
        <v>-6.549895262226936E-2</v>
      </c>
      <c r="X43" s="14">
        <f>IFERROR((BP!X26-BP!W26)/ABS(BP!W26),"")</f>
        <v>-7.8460393319592564E-2</v>
      </c>
      <c r="Y43" s="14">
        <f>IFERROR((BP!Y26-BP!X26)/ABS(BP!X26),"")</f>
        <v>0.16263580433010652</v>
      </c>
      <c r="Z43" s="14">
        <f>IFERROR((BP!Z26-BP!Y26)/ABS(BP!Y26),"")</f>
        <v>-2.5604317568928382E-2</v>
      </c>
      <c r="AA43" s="14">
        <f>IFERROR((BP!AA26-BP!Z26)/ABS(BP!Z26),"")</f>
        <v>1.5413870831376858E-2</v>
      </c>
      <c r="AB43" s="14">
        <f>IFERROR((BP!AB26-BP!AA26)/ABS(BP!AA26),"")</f>
        <v>3.1558620536081654E-2</v>
      </c>
      <c r="AC43" s="14">
        <f>IFERROR((BP!AC26-BP!AB26)/ABS(BP!AB26),"")</f>
        <v>6.790188972606012E-4</v>
      </c>
      <c r="AD43" s="14">
        <f>IFERROR((BP!AD26-BP!AC26)/ABS(BP!AC26),"")</f>
        <v>-6.9076098906037664E-2</v>
      </c>
      <c r="AE43" s="14">
        <f>IFERROR((BP!AE26-BP!AD26)/ABS(BP!AD26),"")</f>
        <v>-7.6233081607201486E-3</v>
      </c>
      <c r="AF43" s="14">
        <f>IFERROR((BP!AF26-BP!AE26)/ABS(BP!AE26),"")</f>
        <v>-0.11494236614600742</v>
      </c>
    </row>
    <row r="44" spans="1:32" x14ac:dyDescent="0.3">
      <c r="A44" s="4" t="s">
        <v>223</v>
      </c>
      <c r="B44" s="8" t="s">
        <v>235</v>
      </c>
      <c r="C44" s="16" t="s">
        <v>229</v>
      </c>
      <c r="D44" s="14">
        <f>IFERROR((BP!D31-BP!C31)/ABS(BP!C31),"")</f>
        <v>7.0574418145493131E-2</v>
      </c>
      <c r="E44" s="14">
        <f>IFERROR((BP!E31-BP!D31)/ABS(BP!D31),"")</f>
        <v>0.12381476650416971</v>
      </c>
      <c r="F44" s="14">
        <f>IFERROR((BP!F31-BP!E31)/ABS(BP!E31),"")</f>
        <v>0.10502827003696712</v>
      </c>
      <c r="G44" s="14">
        <f>IFERROR((BP!G31-BP!F31)/ABS(BP!F31),"")</f>
        <v>0.10908993311533904</v>
      </c>
      <c r="H44" s="14">
        <f>IFERROR((BP!H31-BP!G31)/ABS(BP!G31),"")</f>
        <v>0.11005192588105503</v>
      </c>
      <c r="I44" s="14">
        <f>IFERROR((BP!I31-BP!H31)/ABS(BP!H31),"")</f>
        <v>0.10697337144325079</v>
      </c>
      <c r="J44" s="14">
        <f>IFERROR((BP!J31-BP!I31)/ABS(BP!I31),"")</f>
        <v>7.0830748250103034E-2</v>
      </c>
      <c r="K44" s="14">
        <f>IFERROR((BP!K31-BP!J31)/ABS(BP!J31),"")</f>
        <v>0.16437420245742526</v>
      </c>
      <c r="L44" s="14">
        <f>IFERROR((BP!L31-BP!K31)/ABS(BP!K31),"")</f>
        <v>7.6046640505181534E-2</v>
      </c>
      <c r="M44" s="14">
        <f>IFERROR((BP!M31-BP!L31)/ABS(BP!L31),"")</f>
        <v>0.10464220274409659</v>
      </c>
      <c r="N44" s="14">
        <f>IFERROR((BP!N31-BP!M31)/ABS(BP!M31),"")</f>
        <v>3.4909851157230991E-2</v>
      </c>
      <c r="O44" s="14">
        <f>IFERROR((BP!O31-BP!N31)/ABS(BP!N31),"")</f>
        <v>0.10693195033606649</v>
      </c>
      <c r="P44" s="14">
        <f>IFERROR((BP!P31-BP!O31)/ABS(BP!O31),"")</f>
        <v>8.731940233374981E-2</v>
      </c>
      <c r="Q44" s="14">
        <f>IFERROR((BP!Q31-BP!P31)/ABS(BP!P31),"")</f>
        <v>7.6125444498928413E-2</v>
      </c>
      <c r="R44" s="14">
        <f>IFERROR((BP!R31-BP!Q31)/ABS(BP!Q31),"")</f>
        <v>1.2142356192896475E-2</v>
      </c>
      <c r="S44" s="14">
        <f>IFERROR((BP!S31-BP!R31)/ABS(BP!R31),"")</f>
        <v>5.0573938482488652E-2</v>
      </c>
      <c r="T44" s="14">
        <f>IFERROR((BP!T31-BP!S31)/ABS(BP!S31),"")</f>
        <v>4.5996425907115744E-2</v>
      </c>
      <c r="U44" s="14">
        <f>IFERROR((BP!U31-BP!T31)/ABS(BP!T31),"")</f>
        <v>-3.1735335358396011E-2</v>
      </c>
      <c r="V44" s="14">
        <f>IFERROR((BP!V31-BP!U31)/ABS(BP!U31),"")</f>
        <v>-6.8723522429612285E-2</v>
      </c>
      <c r="W44" s="14">
        <f>IFERROR((BP!W31-BP!V31)/ABS(BP!V31),"")</f>
        <v>3.7744568969784051E-2</v>
      </c>
      <c r="X44" s="14">
        <f>IFERROR((BP!X31-BP!W31)/ABS(BP!W31),"")</f>
        <v>3.4976300478202826E-2</v>
      </c>
      <c r="Y44" s="14">
        <f>IFERROR((BP!Y31-BP!X31)/ABS(BP!X31),"")</f>
        <v>2.7497464917547652E-2</v>
      </c>
      <c r="Z44" s="14">
        <f>IFERROR((BP!Z31-BP!Y31)/ABS(BP!Y31),"")</f>
        <v>8.9030170501518888E-2</v>
      </c>
      <c r="AA44" s="14">
        <f>IFERROR((BP!AA31-BP!Z31)/ABS(BP!Z31),"")</f>
        <v>-2.8916364402917283E-2</v>
      </c>
      <c r="AB44" s="14">
        <f>IFERROR((BP!AB31-BP!AA31)/ABS(BP!AA31),"")</f>
        <v>3.8447777314477148E-2</v>
      </c>
      <c r="AC44" s="14">
        <f>IFERROR((BP!AC31-BP!AB31)/ABS(BP!AB31),"")</f>
        <v>4.0162714669532709E-2</v>
      </c>
      <c r="AD44" s="14">
        <f>IFERROR((BP!AD31-BP!AC31)/ABS(BP!AC31),"")</f>
        <v>2.548555552152108E-2</v>
      </c>
      <c r="AE44" s="14">
        <f>IFERROR((BP!AE31-BP!AD31)/ABS(BP!AD31),"")</f>
        <v>0.16948443703155094</v>
      </c>
      <c r="AF44" s="14">
        <f>IFERROR((BP!AF31-BP!AE31)/ABS(BP!AE31),"")</f>
        <v>-3.1302914288286333E-2</v>
      </c>
    </row>
    <row r="46" spans="1:32" x14ac:dyDescent="0.3">
      <c r="A46" s="6" t="s">
        <v>237</v>
      </c>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row>
    <row r="47" spans="1:32" x14ac:dyDescent="0.3">
      <c r="A47" s="4" t="s">
        <v>191</v>
      </c>
      <c r="B47" s="8" t="s">
        <v>228</v>
      </c>
      <c r="C47" s="17" t="s">
        <v>229</v>
      </c>
      <c r="D47" s="17" t="s">
        <v>229</v>
      </c>
      <c r="E47" s="17" t="s">
        <v>229</v>
      </c>
      <c r="F47" s="18">
        <f>IFERROR(DRE!F7/DRE!$F$7*100,"")</f>
        <v>100</v>
      </c>
      <c r="G47" s="18">
        <f>IFERROR(DRE!G7/DRE!$F$7*100,"")</f>
        <v>105.49173524545516</v>
      </c>
      <c r="H47" s="18">
        <f>IFERROR(DRE!H7/DRE!$F$7*100,"")</f>
        <v>112.45286179952059</v>
      </c>
      <c r="I47" s="18">
        <f>IFERROR(DRE!I7/DRE!$F$7*100,"")</f>
        <v>117.70854481279518</v>
      </c>
      <c r="J47" s="18">
        <f>IFERROR(DRE!J7/DRE!$F$7*100,"")</f>
        <v>121.52761240464905</v>
      </c>
      <c r="K47" s="18">
        <f>IFERROR(DRE!K7/DRE!$F$7*100,"")</f>
        <v>131.01725599248201</v>
      </c>
      <c r="L47" s="18">
        <f>IFERROR(DRE!L7/DRE!$F$7*100,"")</f>
        <v>134.28195017991987</v>
      </c>
      <c r="M47" s="18">
        <f>IFERROR(DRE!M7/DRE!$F$7*100,"")</f>
        <v>136.87347666199537</v>
      </c>
      <c r="N47" s="18">
        <f>IFERROR(DRE!N7/DRE!$F$7*100,"")</f>
        <v>141.00431756469305</v>
      </c>
      <c r="O47" s="18">
        <f>IFERROR(DRE!O7/DRE!$F$7*100,"")</f>
        <v>143.90236809442968</v>
      </c>
      <c r="P47" s="18">
        <f>IFERROR(DRE!P7/DRE!$F$7*100,"")</f>
        <v>145.77480039082317</v>
      </c>
      <c r="Q47" s="18">
        <f>IFERROR(DRE!Q7/DRE!$F$7*100,"")</f>
        <v>144.95993915975939</v>
      </c>
      <c r="R47" s="18">
        <f>IFERROR(DRE!R7/DRE!$F$7*100,"")</f>
        <v>143.61495721759056</v>
      </c>
      <c r="S47" s="18">
        <f>IFERROR(DRE!S7/DRE!$F$7*100,"")</f>
        <v>149.27483349593246</v>
      </c>
      <c r="T47" s="18">
        <f>IFERROR(DRE!T7/DRE!$F$7*100,"")</f>
        <v>149.74668189867495</v>
      </c>
      <c r="U47" s="18">
        <f>IFERROR(DRE!U7/DRE!$F$7*100,"")</f>
        <v>156.22809530028161</v>
      </c>
      <c r="V47" s="18">
        <f>IFERROR(DRE!V7/DRE!$F$7*100,"")</f>
        <v>161.55339049360268</v>
      </c>
      <c r="W47" s="18">
        <f>IFERROR(DRE!W7/DRE!$F$7*100,"")</f>
        <v>171.38643100218493</v>
      </c>
      <c r="X47" s="18">
        <f>IFERROR(DRE!X7/DRE!$F$7*100,"")</f>
        <v>174.84088513917132</v>
      </c>
      <c r="Y47" s="18">
        <f>IFERROR(DRE!Y7/DRE!$F$7*100,"")</f>
        <v>179.6949537936809</v>
      </c>
      <c r="Z47" s="18">
        <f>IFERROR(DRE!Z7/DRE!$F$7*100,"")</f>
        <v>187.40990746298905</v>
      </c>
      <c r="AA47" s="18">
        <f>IFERROR(DRE!AA7/DRE!$F$7*100,"")</f>
        <v>192.82904923955184</v>
      </c>
      <c r="AB47" s="18">
        <f>IFERROR(DRE!AB7/DRE!$F$7*100,"")</f>
        <v>202.63922710361021</v>
      </c>
      <c r="AC47" s="18">
        <f>IFERROR(DRE!AC7/DRE!$F$7*100,"")</f>
        <v>210.52484584176051</v>
      </c>
      <c r="AD47" s="18">
        <f>IFERROR(DRE!AD7/DRE!$F$7*100,"")</f>
        <v>220.40983027870112</v>
      </c>
      <c r="AE47" s="18">
        <f>IFERROR(DRE!AE7/DRE!$F$7*100,"")</f>
        <v>224.04947183633124</v>
      </c>
      <c r="AF47" s="18">
        <f>IFERROR(DRE!AF7/DRE!$F$7*100,"")</f>
        <v>229.72271818919077</v>
      </c>
    </row>
    <row r="48" spans="1:32" x14ac:dyDescent="0.3">
      <c r="A48" s="4" t="s">
        <v>192</v>
      </c>
      <c r="B48" s="8" t="s">
        <v>228</v>
      </c>
      <c r="C48" s="17" t="s">
        <v>229</v>
      </c>
      <c r="D48" s="17" t="s">
        <v>229</v>
      </c>
      <c r="E48" s="17" t="s">
        <v>229</v>
      </c>
      <c r="F48" s="18">
        <f>IFERROR(DRE!F8/DRE!$F$8*100,"")</f>
        <v>100</v>
      </c>
      <c r="G48" s="18">
        <f>IFERROR(DRE!G8/DRE!$F$8*100,"")</f>
        <v>103.8568122600456</v>
      </c>
      <c r="H48" s="18">
        <f>IFERROR(DRE!H8/DRE!$F$8*100,"")</f>
        <v>105.12645184408757</v>
      </c>
      <c r="I48" s="18">
        <f>IFERROR(DRE!I8/DRE!$F$8*100,"")</f>
        <v>111.59045972862846</v>
      </c>
      <c r="J48" s="18">
        <f>IFERROR(DRE!J8/DRE!$F$8*100,"")</f>
        <v>120.17115870263989</v>
      </c>
      <c r="K48" s="18">
        <f>IFERROR(DRE!K8/DRE!$F$8*100,"")</f>
        <v>111.61238687683262</v>
      </c>
      <c r="L48" s="18">
        <f>IFERROR(DRE!L8/DRE!$F$8*100,"")</f>
        <v>115.9256011861433</v>
      </c>
      <c r="M48" s="18">
        <f>IFERROR(DRE!M8/DRE!$F$8*100,"")</f>
        <v>121.36644794336333</v>
      </c>
      <c r="N48" s="18">
        <f>IFERROR(DRE!N8/DRE!$F$8*100,"")</f>
        <v>151.16965467338213</v>
      </c>
      <c r="O48" s="18">
        <f>IFERROR(DRE!O8/DRE!$F$8*100,"")</f>
        <v>123.62021256062062</v>
      </c>
      <c r="P48" s="18">
        <f>IFERROR(DRE!P8/DRE!$F$8*100,"")</f>
        <v>135.3353685189048</v>
      </c>
      <c r="Q48" s="18">
        <f>IFERROR(DRE!Q8/DRE!$F$8*100,"")</f>
        <v>138.1602199408371</v>
      </c>
      <c r="R48" s="18">
        <f>IFERROR(DRE!R8/DRE!$F$8*100,"")</f>
        <v>155.91818057756683</v>
      </c>
      <c r="S48" s="18">
        <f>IFERROR(DRE!S8/DRE!$F$8*100,"")</f>
        <v>138.59183854232936</v>
      </c>
      <c r="T48" s="18">
        <f>IFERROR(DRE!T8/DRE!$F$8*100,"")</f>
        <v>134.83667015481433</v>
      </c>
      <c r="U48" s="18">
        <f>IFERROR(DRE!U8/DRE!$F$8*100,"")</f>
        <v>142.2606832095459</v>
      </c>
      <c r="V48" s="18">
        <f>IFERROR(DRE!V8/DRE!$F$8*100,"")</f>
        <v>153.1289607714663</v>
      </c>
      <c r="W48" s="18">
        <f>IFERROR(DRE!W8/DRE!$F$8*100,"")</f>
        <v>143.59607538668959</v>
      </c>
      <c r="X48" s="18">
        <f>IFERROR(DRE!X8/DRE!$F$8*100,"")</f>
        <v>149.28184261904784</v>
      </c>
      <c r="Y48" s="18">
        <f>IFERROR(DRE!Y8/DRE!$F$8*100,"")</f>
        <v>147.71638849482534</v>
      </c>
      <c r="Z48" s="18">
        <f>IFERROR(DRE!Z8/DRE!$F$8*100,"")</f>
        <v>166.39716470433115</v>
      </c>
      <c r="AA48" s="18">
        <f>IFERROR(DRE!AA8/DRE!$F$8*100,"")</f>
        <v>151.84974248584041</v>
      </c>
      <c r="AB48" s="18">
        <f>IFERROR(DRE!AB8/DRE!$F$8*100,"")</f>
        <v>153.64326780289684</v>
      </c>
      <c r="AC48" s="18">
        <f>IFERROR(DRE!AC8/DRE!$F$8*100,"")</f>
        <v>177.84792541769053</v>
      </c>
      <c r="AD48" s="18">
        <f>IFERROR(DRE!AD8/DRE!$F$8*100,"")</f>
        <v>188.18747019278291</v>
      </c>
      <c r="AE48" s="18">
        <f>IFERROR(DRE!AE8/DRE!$F$8*100,"")</f>
        <v>169.88456222015839</v>
      </c>
      <c r="AF48" s="18">
        <f>IFERROR(DRE!AF8/DRE!$F$8*100,"")</f>
        <v>174.17556086615699</v>
      </c>
    </row>
    <row r="49" spans="1:32" x14ac:dyDescent="0.3">
      <c r="A49" s="4" t="s">
        <v>193</v>
      </c>
      <c r="B49" s="8" t="s">
        <v>228</v>
      </c>
      <c r="C49" s="17" t="s">
        <v>229</v>
      </c>
      <c r="D49" s="17" t="s">
        <v>229</v>
      </c>
      <c r="E49" s="17" t="s">
        <v>229</v>
      </c>
      <c r="F49" s="18">
        <f>IFERROR(DRE!F9/DRE!$F$9*100,"")</f>
        <v>100</v>
      </c>
      <c r="G49" s="18">
        <f>IFERROR(DRE!G9/DRE!$F$9*100,"")</f>
        <v>108.32307806842272</v>
      </c>
      <c r="H49" s="18">
        <f>IFERROR(DRE!H9/DRE!$F$9*100,"")</f>
        <v>125.14066326206861</v>
      </c>
      <c r="I49" s="18">
        <f>IFERROR(DRE!I9/DRE!$F$9*100,"")</f>
        <v>128.3037816820233</v>
      </c>
      <c r="J49" s="18">
        <f>IFERROR(DRE!J9/DRE!$F$9*100,"")</f>
        <v>123.87670498463335</v>
      </c>
      <c r="K49" s="18">
        <f>IFERROR(DRE!K9/DRE!$F$9*100,"")</f>
        <v>164.62240889052774</v>
      </c>
      <c r="L49" s="18">
        <f>IFERROR(DRE!L9/DRE!$F$9*100,"")</f>
        <v>166.07128670722807</v>
      </c>
      <c r="M49" s="18">
        <f>IFERROR(DRE!M9/DRE!$F$9*100,"")</f>
        <v>163.72838962112229</v>
      </c>
      <c r="N49" s="18">
        <f>IFERROR(DRE!N9/DRE!$F$9*100,"")</f>
        <v>123.40009123563327</v>
      </c>
      <c r="O49" s="18">
        <f>IFERROR(DRE!O9/DRE!$F$9*100,"")</f>
        <v>179.02679659500222</v>
      </c>
      <c r="P49" s="18">
        <f>IFERROR(DRE!P9/DRE!$F$9*100,"")</f>
        <v>163.85370121379364</v>
      </c>
      <c r="Q49" s="18">
        <f>IFERROR(DRE!Q9/DRE!$F$9*100,"")</f>
        <v>156.73562301796082</v>
      </c>
      <c r="R49" s="18">
        <f>IFERROR(DRE!R9/DRE!$F$9*100,"")</f>
        <v>122.30836145099633</v>
      </c>
      <c r="S49" s="18">
        <f>IFERROR(DRE!S9/DRE!$F$9*100,"")</f>
        <v>167.77553436050866</v>
      </c>
      <c r="T49" s="18">
        <f>IFERROR(DRE!T9/DRE!$F$9*100,"")</f>
        <v>175.56768699682374</v>
      </c>
      <c r="U49" s="18">
        <f>IFERROR(DRE!U9/DRE!$F$9*100,"")</f>
        <v>180.41671600685717</v>
      </c>
      <c r="V49" s="18">
        <f>IFERROR(DRE!V9/DRE!$F$9*100,"")</f>
        <v>176.14273130306572</v>
      </c>
      <c r="W49" s="18">
        <f>IFERROR(DRE!W9/DRE!$F$9*100,"")</f>
        <v>219.51348323757588</v>
      </c>
      <c r="X49" s="18">
        <f>IFERROR(DRE!X9/DRE!$F$9*100,"")</f>
        <v>219.10377228865033</v>
      </c>
      <c r="Y49" s="18">
        <f>IFERROR(DRE!Y9/DRE!$F$9*100,"")</f>
        <v>235.07510451376552</v>
      </c>
      <c r="Z49" s="18">
        <f>IFERROR(DRE!Z9/DRE!$F$9*100,"")</f>
        <v>223.79955941083568</v>
      </c>
      <c r="AA49" s="18">
        <f>IFERROR(DRE!AA9/DRE!$F$9*100,"")</f>
        <v>263.79659150469342</v>
      </c>
      <c r="AB49" s="18">
        <f>IFERROR(DRE!AB9/DRE!$F$9*100,"")</f>
        <v>287.48992585730764</v>
      </c>
      <c r="AC49" s="18">
        <f>IFERROR(DRE!AC9/DRE!$F$9*100,"")</f>
        <v>267.11440079024248</v>
      </c>
      <c r="AD49" s="18">
        <f>IFERROR(DRE!AD9/DRE!$F$9*100,"")</f>
        <v>276.21218230538358</v>
      </c>
      <c r="AE49" s="18">
        <f>IFERROR(DRE!AE9/DRE!$F$9*100,"")</f>
        <v>317.85170562168383</v>
      </c>
      <c r="AF49" s="18">
        <f>IFERROR(DRE!AF9/DRE!$F$9*100,"")</f>
        <v>325.91871434702819</v>
      </c>
    </row>
    <row r="50" spans="1:32" x14ac:dyDescent="0.3">
      <c r="A50" s="4" t="s">
        <v>230</v>
      </c>
      <c r="B50" s="8" t="s">
        <v>228</v>
      </c>
      <c r="C50" s="17" t="s">
        <v>229</v>
      </c>
      <c r="D50" s="17" t="s">
        <v>229</v>
      </c>
      <c r="E50" s="17" t="s">
        <v>229</v>
      </c>
      <c r="F50" s="18">
        <f>IFERROR(DRE!F13/DRE!$F$13*100,"")</f>
        <v>100</v>
      </c>
      <c r="G50" s="18">
        <f>IFERROR(DRE!G13/DRE!$F$13*100,"")</f>
        <v>78.406558044304902</v>
      </c>
      <c r="H50" s="18">
        <f>IFERROR(DRE!H13/DRE!$F$13*100,"")</f>
        <v>74.317956003600997</v>
      </c>
      <c r="I50" s="18">
        <f>IFERROR(DRE!I13/DRE!$F$13*100,"")</f>
        <v>81.212250445427742</v>
      </c>
      <c r="J50" s="18">
        <f>IFERROR(DRE!J13/DRE!$F$13*100,"")</f>
        <v>98.842503624670172</v>
      </c>
      <c r="K50" s="18">
        <f>IFERROR(DRE!K13/DRE!$F$13*100,"")</f>
        <v>86.519921265099001</v>
      </c>
      <c r="L50" s="18">
        <f>IFERROR(DRE!L13/DRE!$F$13*100,"")</f>
        <v>95.673080350690469</v>
      </c>
      <c r="M50" s="18">
        <f>IFERROR(DRE!M13/DRE!$F$13*100,"")</f>
        <v>98.621167036857244</v>
      </c>
      <c r="N50" s="18">
        <f>IFERROR(DRE!N13/DRE!$F$13*100,"")</f>
        <v>119.12464782205446</v>
      </c>
      <c r="O50" s="18">
        <f>IFERROR(DRE!O13/DRE!$F$13*100,"")</f>
        <v>104.44209245063998</v>
      </c>
      <c r="P50" s="18">
        <f>IFERROR(DRE!P13/DRE!$F$13*100,"")</f>
        <v>110.25368478429243</v>
      </c>
      <c r="Q50" s="18">
        <f>IFERROR(DRE!Q13/DRE!$F$13*100,"")</f>
        <v>103.95405013549168</v>
      </c>
      <c r="R50" s="18">
        <f>IFERROR(DRE!R13/DRE!$F$13*100,"")</f>
        <v>123.01446821859369</v>
      </c>
      <c r="S50" s="18">
        <f>IFERROR(DRE!S13/DRE!$F$13*100,"")</f>
        <v>106.52421188943669</v>
      </c>
      <c r="T50" s="18">
        <f>IFERROR(DRE!T13/DRE!$F$13*100,"")</f>
        <v>109.31681205315446</v>
      </c>
      <c r="U50" s="18">
        <f>IFERROR(DRE!U13/DRE!$F$13*100,"")</f>
        <v>109.82481678969262</v>
      </c>
      <c r="V50" s="18">
        <f>IFERROR(DRE!V13/DRE!$F$13*100,"")</f>
        <v>131.5206633745955</v>
      </c>
      <c r="W50" s="18">
        <f>IFERROR(DRE!W13/DRE!$F$13*100,"")</f>
        <v>114.12496864668394</v>
      </c>
      <c r="X50" s="18">
        <f>IFERROR(DRE!X13/DRE!$F$13*100,"")</f>
        <v>115.51825492141741</v>
      </c>
      <c r="Y50" s="18">
        <f>IFERROR(DRE!Y13/DRE!$F$13*100,"")</f>
        <v>116.3616024120827</v>
      </c>
      <c r="Z50" s="18">
        <f>IFERROR(DRE!Z13/DRE!$F$13*100,"")</f>
        <v>143.00242595270331</v>
      </c>
      <c r="AA50" s="18">
        <f>IFERROR(DRE!AA13/DRE!$F$13*100,"")</f>
        <v>125.26127763385676</v>
      </c>
      <c r="AB50" s="18">
        <f>IFERROR(DRE!AB13/DRE!$F$13*100,"")</f>
        <v>128.27547363761335</v>
      </c>
      <c r="AC50" s="18">
        <f>IFERROR(DRE!AC13/DRE!$F$13*100,"")</f>
        <v>135.9654779736068</v>
      </c>
      <c r="AD50" s="18">
        <f>IFERROR(DRE!AD13/DRE!$F$13*100,"")</f>
        <v>166.66534880118527</v>
      </c>
      <c r="AE50" s="18">
        <f>IFERROR(DRE!AE13/DRE!$F$13*100,"")</f>
        <v>155.84442014674971</v>
      </c>
      <c r="AF50" s="18">
        <f>IFERROR(DRE!AF13/DRE!$F$13*100,"")</f>
        <v>151.03794869268822</v>
      </c>
    </row>
    <row r="51" spans="1:32" x14ac:dyDescent="0.3">
      <c r="A51" s="4" t="s">
        <v>197</v>
      </c>
      <c r="B51" s="8" t="s">
        <v>228</v>
      </c>
      <c r="C51" s="17" t="s">
        <v>229</v>
      </c>
      <c r="D51" s="17" t="s">
        <v>229</v>
      </c>
      <c r="E51" s="17" t="s">
        <v>229</v>
      </c>
      <c r="F51" s="18">
        <f>IFERROR(DRE!F14/DRE!$F$14*100,"")</f>
        <v>100</v>
      </c>
      <c r="G51" s="18">
        <f>IFERROR(DRE!G14/DRE!$F$14*100,"")</f>
        <v>208.99256726105313</v>
      </c>
      <c r="H51" s="18">
        <f>IFERROR(DRE!H14/DRE!$F$14*100,"")</f>
        <v>296.15975154412541</v>
      </c>
      <c r="I51" s="18">
        <f>IFERROR(DRE!I14/DRE!$F$14*100,"")</f>
        <v>286.76741284851857</v>
      </c>
      <c r="J51" s="18">
        <f>IFERROR(DRE!J14/DRE!$F$14*100,"")</f>
        <v>208.11712670551702</v>
      </c>
      <c r="K51" s="18">
        <f>IFERROR(DRE!K14/DRE!$F$14*100,"")</f>
        <v>427.43832222493643</v>
      </c>
      <c r="L51" s="18">
        <f>IFERROR(DRE!L14/DRE!$F$14*100,"")</f>
        <v>402.96219073873766</v>
      </c>
      <c r="M51" s="18">
        <f>IFERROR(DRE!M14/DRE!$F$14*100,"")</f>
        <v>382.81506263740096</v>
      </c>
      <c r="N51" s="18">
        <f>IFERROR(DRE!N14/DRE!$F$14*100,"")</f>
        <v>137.78701538891031</v>
      </c>
      <c r="O51" s="18">
        <f>IFERROR(DRE!O14/DRE!$F$14*100,"")</f>
        <v>430.00532156192213</v>
      </c>
      <c r="P51" s="18">
        <f>IFERROR(DRE!P14/DRE!$F$14*100,"")</f>
        <v>344.21847192657981</v>
      </c>
      <c r="Q51" s="18">
        <f>IFERROR(DRE!Q14/DRE!$F$14*100,"")</f>
        <v>334.34632027078902</v>
      </c>
      <c r="R51" s="18">
        <f>IFERROR(DRE!R14/DRE!$F$14*100,"")</f>
        <v>119.93230275325402</v>
      </c>
      <c r="S51" s="18">
        <f>IFERROR(DRE!S14/DRE!$F$14*100,"")</f>
        <v>373.88705202917259</v>
      </c>
      <c r="T51" s="18">
        <f>IFERROR(DRE!T14/DRE!$F$14*100,"")</f>
        <v>398.50276546742521</v>
      </c>
      <c r="U51" s="18">
        <f>IFERROR(DRE!U14/DRE!$F$14*100,"")</f>
        <v>417.9593990996965</v>
      </c>
      <c r="V51" s="18">
        <f>IFERROR(DRE!V14/DRE!$F$14*100,"")</f>
        <v>326.29658547649808</v>
      </c>
      <c r="W51" s="18">
        <f>IFERROR(DRE!W14/DRE!$F$14*100,"")</f>
        <v>574.14724151167263</v>
      </c>
      <c r="X51" s="18">
        <f>IFERROR(DRE!X14/DRE!$F$14*100,"")</f>
        <v>567.6704208395854</v>
      </c>
      <c r="Y51" s="18">
        <f>IFERROR(DRE!Y14/DRE!$F$14*100,"")</f>
        <v>634.54762361726625</v>
      </c>
      <c r="Z51" s="18">
        <f>IFERROR(DRE!Z14/DRE!$F$14*100,"")</f>
        <v>495.6829919391426</v>
      </c>
      <c r="AA51" s="18">
        <f>IFERROR(DRE!AA14/DRE!$F$14*100,"")</f>
        <v>729.96977178350846</v>
      </c>
      <c r="AB51" s="18">
        <f>IFERROR(DRE!AB14/DRE!$F$14*100,"")</f>
        <v>823.24868269532749</v>
      </c>
      <c r="AC51" s="18">
        <f>IFERROR(DRE!AC14/DRE!$F$14*100,"")</f>
        <v>708.43227658163823</v>
      </c>
      <c r="AD51" s="18">
        <f>IFERROR(DRE!AD14/DRE!$F$14*100,"")</f>
        <v>644.83873922601833</v>
      </c>
      <c r="AE51" s="18">
        <f>IFERROR(DRE!AE14/DRE!$F$14*100,"")</f>
        <v>863.00838364099513</v>
      </c>
      <c r="AF51" s="18">
        <f>IFERROR(DRE!AF14/DRE!$F$14*100,"")</f>
        <v>914.39482499912788</v>
      </c>
    </row>
    <row r="52" spans="1:32" x14ac:dyDescent="0.3">
      <c r="A52" s="4" t="s">
        <v>204</v>
      </c>
      <c r="B52" s="8" t="s">
        <v>228</v>
      </c>
      <c r="C52" s="17" t="s">
        <v>229</v>
      </c>
      <c r="D52" s="17" t="s">
        <v>229</v>
      </c>
      <c r="E52" s="17" t="s">
        <v>229</v>
      </c>
      <c r="F52" s="18">
        <f>IFERROR(DRE!F30/DRE!$F$30*100,"")</f>
        <v>100</v>
      </c>
      <c r="G52" s="18">
        <f>IFERROR(DRE!G30/DRE!$F$30*100,"")</f>
        <v>202.9019390126046</v>
      </c>
      <c r="H52" s="18">
        <f>IFERROR(DRE!H30/DRE!$F$30*100,"")</f>
        <v>284.7015401065122</v>
      </c>
      <c r="I52" s="18">
        <f>IFERROR(DRE!I30/DRE!$F$30*100,"")</f>
        <v>276.24288034873433</v>
      </c>
      <c r="J52" s="18">
        <f>IFERROR(DRE!J30/DRE!$F$30*100,"")</f>
        <v>202.78103345465021</v>
      </c>
      <c r="K52" s="18">
        <f>IFERROR(DRE!K30/DRE!$F$30*100,"")</f>
        <v>410.33804207019938</v>
      </c>
      <c r="L52" s="18">
        <f>IFERROR(DRE!L30/DRE!$F$30*100,"")</f>
        <v>387.81568071062867</v>
      </c>
      <c r="M52" s="18">
        <f>IFERROR(DRE!M30/DRE!$F$30*100,"")</f>
        <v>375.36364197150084</v>
      </c>
      <c r="N52" s="18">
        <f>IFERROR(DRE!N30/DRE!$F$30*100,"")</f>
        <v>143.06211831472467</v>
      </c>
      <c r="O52" s="18">
        <f>IFERROR(DRE!O30/DRE!$F$30*100,"")</f>
        <v>420.74887422120793</v>
      </c>
      <c r="P52" s="18">
        <f>IFERROR(DRE!P30/DRE!$F$30*100,"")</f>
        <v>341.69966894906747</v>
      </c>
      <c r="Q52" s="18">
        <f>IFERROR(DRE!Q30/DRE!$F$30*100,"")</f>
        <v>332.73826414163233</v>
      </c>
      <c r="R52" s="18">
        <f>IFERROR(DRE!R30/DRE!$F$30*100,"")</f>
        <v>132.27458721444287</v>
      </c>
      <c r="S52" s="18">
        <f>IFERROR(DRE!S30/DRE!$F$30*100,"")</f>
        <v>371.07560709806103</v>
      </c>
      <c r="T52" s="18">
        <f>IFERROR(DRE!T30/DRE!$F$30*100,"")</f>
        <v>394.08796496206293</v>
      </c>
      <c r="U52" s="18">
        <f>IFERROR(DRE!U30/DRE!$F$30*100,"")</f>
        <v>412.69384985503683</v>
      </c>
      <c r="V52" s="18">
        <f>IFERROR(DRE!V30/DRE!$F$30*100,"")</f>
        <v>325.43252524006357</v>
      </c>
      <c r="W52" s="18">
        <f>IFERROR(DRE!W30/DRE!$F$30*100,"")</f>
        <v>559.24331215429856</v>
      </c>
      <c r="X52" s="18">
        <f>IFERROR(DRE!X30/DRE!$F$30*100,"")</f>
        <v>551.90179507741652</v>
      </c>
      <c r="Y52" s="18">
        <f>IFERROR(DRE!Y30/DRE!$F$30*100,"")</f>
        <v>614.88927271605701</v>
      </c>
      <c r="Z52" s="18">
        <f>IFERROR(DRE!Z30/DRE!$F$30*100,"")</f>
        <v>483.68494643554828</v>
      </c>
      <c r="AA52" s="18">
        <f>IFERROR(DRE!AA30/DRE!$F$30*100,"")</f>
        <v>704.67912734151707</v>
      </c>
      <c r="AB52" s="18">
        <f>IFERROR(DRE!AB30/DRE!$F$30*100,"")</f>
        <v>792.61139555445891</v>
      </c>
      <c r="AC52" s="18">
        <f>IFERROR(DRE!AC30/DRE!$F$30*100,"")</f>
        <v>685.86618139946154</v>
      </c>
      <c r="AD52" s="18">
        <f>IFERROR(DRE!AD30/DRE!$F$30*100,"")</f>
        <v>625.634034503321</v>
      </c>
      <c r="AE52" s="18">
        <f>IFERROR(DRE!AE30/DRE!$F$30*100,"")</f>
        <v>833.91359776283593</v>
      </c>
      <c r="AF52" s="18">
        <f>IFERROR(DRE!AF30/DRE!$F$30*100,"")</f>
        <v>882.76273312359945</v>
      </c>
    </row>
    <row r="53" spans="1:32" x14ac:dyDescent="0.3">
      <c r="A53" s="4" t="s">
        <v>202</v>
      </c>
      <c r="B53" s="8" t="s">
        <v>228</v>
      </c>
      <c r="C53" s="17" t="s">
        <v>229</v>
      </c>
      <c r="D53" s="17" t="s">
        <v>229</v>
      </c>
      <c r="E53" s="17" t="s">
        <v>229</v>
      </c>
      <c r="F53" s="18">
        <f>IFERROR(DRE!F19/DRE!$F$19*100,"")</f>
        <v>100</v>
      </c>
      <c r="G53" s="18">
        <f>IFERROR(DRE!G19/DRE!$F$19*100,"")</f>
        <v>120.80123345315772</v>
      </c>
      <c r="H53" s="18">
        <f>IFERROR(DRE!H19/DRE!$F$19*100,"")</f>
        <v>122.69724176704095</v>
      </c>
      <c r="I53" s="18">
        <f>IFERROR(DRE!I19/DRE!$F$19*100,"")</f>
        <v>134.58541322384437</v>
      </c>
      <c r="J53" s="18">
        <f>IFERROR(DRE!J19/DRE!$F$19*100,"")</f>
        <v>92.365197539908365</v>
      </c>
      <c r="K53" s="18">
        <f>IFERROR(DRE!K19/DRE!$F$19*100,"")</f>
        <v>290.76698979504914</v>
      </c>
      <c r="L53" s="18">
        <f>IFERROR(DRE!L19/DRE!$F$19*100,"")</f>
        <v>230.50803277850659</v>
      </c>
      <c r="M53" s="18">
        <f>IFERROR(DRE!M19/DRE!$F$19*100,"")</f>
        <v>246.87309402524824</v>
      </c>
      <c r="N53" s="18">
        <f>IFERROR(DRE!N19/DRE!$F$19*100,"")</f>
        <v>103.4855273693716</v>
      </c>
      <c r="O53" s="18">
        <f>IFERROR(DRE!O19/DRE!$F$19*100,"")</f>
        <v>272.15138763480246</v>
      </c>
      <c r="P53" s="18">
        <f>IFERROR(DRE!P19/DRE!$F$19*100,"")</f>
        <v>245.48971838424444</v>
      </c>
      <c r="Q53" s="18">
        <f>IFERROR(DRE!Q19/DRE!$F$19*100,"")</f>
        <v>238.21353731877269</v>
      </c>
      <c r="R53" s="18">
        <f>IFERROR(DRE!R19/DRE!$F$19*100,"")</f>
        <v>9.4185392779869517</v>
      </c>
      <c r="S53" s="18">
        <f>IFERROR(DRE!S19/DRE!$F$19*100,"")</f>
        <v>222.34867199345788</v>
      </c>
      <c r="T53" s="18">
        <f>IFERROR(DRE!T19/DRE!$F$19*100,"")</f>
        <v>253.43884695981055</v>
      </c>
      <c r="U53" s="18">
        <f>IFERROR(DRE!U19/DRE!$F$19*100,"")</f>
        <v>285.77644513348213</v>
      </c>
      <c r="V53" s="18">
        <f>IFERROR(DRE!V19/DRE!$F$19*100,"")</f>
        <v>159.7761384738574</v>
      </c>
      <c r="W53" s="18">
        <f>IFERROR(DRE!W19/DRE!$F$19*100,"")</f>
        <v>397.33018723273761</v>
      </c>
      <c r="X53" s="18">
        <f>IFERROR(DRE!X19/DRE!$F$19*100,"")</f>
        <v>365.82891800262354</v>
      </c>
      <c r="Y53" s="18">
        <f>IFERROR(DRE!Y19/DRE!$F$19*100,"")</f>
        <v>402.6626573760156</v>
      </c>
      <c r="Z53" s="18">
        <f>IFERROR(DRE!Z19/DRE!$F$19*100,"")</f>
        <v>318.34795645433348</v>
      </c>
      <c r="AA53" s="18">
        <f>IFERROR(DRE!AA19/DRE!$F$19*100,"")</f>
        <v>492.41886297425754</v>
      </c>
      <c r="AB53" s="18">
        <f>IFERROR(DRE!AB19/DRE!$F$19*100,"")</f>
        <v>532.4655433838185</v>
      </c>
      <c r="AC53" s="18">
        <f>IFERROR(DRE!AC19/DRE!$F$19*100,"")</f>
        <v>433.90905838458531</v>
      </c>
      <c r="AD53" s="18">
        <f>IFERROR(DRE!AD19/DRE!$F$19*100,"")</f>
        <v>412.0348569773584</v>
      </c>
      <c r="AE53" s="18">
        <f>IFERROR(DRE!AE19/DRE!$F$19*100,"")</f>
        <v>900.01039235395319</v>
      </c>
      <c r="AF53" s="18">
        <f>IFERROR(DRE!AF19/DRE!$F$19*100,"")</f>
        <v>579.48685622774599</v>
      </c>
    </row>
    <row r="54" spans="1:32" x14ac:dyDescent="0.3">
      <c r="A54" s="4" t="s">
        <v>213</v>
      </c>
      <c r="B54" s="8" t="s">
        <v>235</v>
      </c>
      <c r="C54" s="17" t="s">
        <v>229</v>
      </c>
      <c r="D54" s="17" t="s">
        <v>229</v>
      </c>
      <c r="E54" s="17" t="s">
        <v>229</v>
      </c>
      <c r="F54" s="18">
        <f>IFERROR(BP!F15/BP!$F$15*100,"")</f>
        <v>100</v>
      </c>
      <c r="G54" s="18">
        <f>IFERROR(BP!G15/BP!$F$15*100,"")</f>
        <v>103.1910972167412</v>
      </c>
      <c r="H54" s="18">
        <f>IFERROR(BP!H15/BP!$F$15*100,"")</f>
        <v>109.41722428068617</v>
      </c>
      <c r="I54" s="18">
        <f>IFERROR(BP!I15/BP!$F$15*100,"")</f>
        <v>113.67692014813404</v>
      </c>
      <c r="J54" s="18">
        <f>IFERROR(BP!J15/BP!$F$15*100,"")</f>
        <v>115.61305617377495</v>
      </c>
      <c r="K54" s="18">
        <f>IFERROR(BP!K15/BP!$F$15*100,"")</f>
        <v>118.0932249484573</v>
      </c>
      <c r="L54" s="18">
        <f>IFERROR(BP!L15/BP!$F$15*100,"")</f>
        <v>120.58899310189584</v>
      </c>
      <c r="M54" s="18">
        <f>IFERROR(BP!M15/BP!$F$15*100,"")</f>
        <v>125.79532402440898</v>
      </c>
      <c r="N54" s="18">
        <f>IFERROR(BP!N15/BP!$F$15*100,"")</f>
        <v>131.22510280284928</v>
      </c>
      <c r="O54" s="18">
        <f>IFERROR(BP!O15/BP!$F$15*100,"")</f>
        <v>133.42149827500305</v>
      </c>
      <c r="P54" s="18">
        <f>IFERROR(BP!P15/BP!$F$15*100,"")</f>
        <v>136.42373410747064</v>
      </c>
      <c r="Q54" s="18">
        <f>IFERROR(BP!Q15/BP!$F$15*100,"")</f>
        <v>139.98878669562538</v>
      </c>
      <c r="R54" s="18">
        <f>IFERROR(BP!R15/BP!$F$15*100,"")</f>
        <v>143.02796067967611</v>
      </c>
      <c r="S54" s="18">
        <f>IFERROR(BP!S15/BP!$F$15*100,"")</f>
        <v>145.66389366615775</v>
      </c>
      <c r="T54" s="18">
        <f>IFERROR(BP!T15/BP!$F$15*100,"")</f>
        <v>149.57000165294551</v>
      </c>
      <c r="U54" s="18">
        <f>IFERROR(BP!U15/BP!$F$15*100,"")</f>
        <v>145.69756772131811</v>
      </c>
      <c r="V54" s="18">
        <f>IFERROR(BP!V15/BP!$F$15*100,"")</f>
        <v>143.43184919862753</v>
      </c>
      <c r="W54" s="18">
        <f>IFERROR(BP!W15/BP!$F$15*100,"")</f>
        <v>143.71360635503385</v>
      </c>
      <c r="X54" s="18">
        <f>IFERROR(BP!X15/BP!$F$15*100,"")</f>
        <v>144.51174709745595</v>
      </c>
      <c r="Y54" s="18">
        <f>IFERROR(BP!Y15/BP!$F$15*100,"")</f>
        <v>153.88005408098584</v>
      </c>
      <c r="Z54" s="18">
        <f>IFERROR(BP!Z15/BP!$F$15*100,"")</f>
        <v>157.84915412515858</v>
      </c>
      <c r="AA54" s="18">
        <f>IFERROR(BP!AA15/BP!$F$15*100,"")</f>
        <v>153.30846929712612</v>
      </c>
      <c r="AB54" s="18">
        <f>IFERROR(BP!AB15/BP!$F$15*100,"")</f>
        <v>156.2871265214398</v>
      </c>
      <c r="AC54" s="18">
        <f>IFERROR(BP!AC15/BP!$F$15*100,"")</f>
        <v>161.68854680661292</v>
      </c>
      <c r="AD54" s="18">
        <f>IFERROR(BP!AD15/BP!$F$15*100,"")</f>
        <v>163.63746254971787</v>
      </c>
      <c r="AE54" s="18">
        <f>IFERROR(BP!AE15/BP!$F$15*100,"")</f>
        <v>179.58685898915084</v>
      </c>
      <c r="AF54" s="18">
        <f>IFERROR(BP!AF15/BP!$F$15*100,"")</f>
        <v>172.03595615597399</v>
      </c>
    </row>
    <row r="55" spans="1:32" x14ac:dyDescent="0.3">
      <c r="A55" s="4" t="s">
        <v>223</v>
      </c>
      <c r="B55" s="8" t="s">
        <v>235</v>
      </c>
      <c r="C55" s="17" t="s">
        <v>229</v>
      </c>
      <c r="D55" s="17" t="s">
        <v>229</v>
      </c>
      <c r="E55" s="17" t="s">
        <v>229</v>
      </c>
      <c r="F55" s="18">
        <f>IFERROR(BP!F31/BP!$F$31*100,"")</f>
        <v>100</v>
      </c>
      <c r="G55" s="18">
        <f>IFERROR(BP!G31/BP!$F$31*100,"")</f>
        <v>110.90899331153391</v>
      </c>
      <c r="H55" s="18">
        <f>IFERROR(BP!H31/BP!$F$31*100,"")</f>
        <v>123.11474162299727</v>
      </c>
      <c r="I55" s="18">
        <f>IFERROR(BP!I31/BP!$F$31*100,"")</f>
        <v>136.284740608774</v>
      </c>
      <c r="J55" s="18">
        <f>IFERROR(BP!J31/BP!$F$31*100,"")</f>
        <v>145.93789076116465</v>
      </c>
      <c r="K55" s="18">
        <f>IFERROR(BP!K31/BP!$F$31*100,"")</f>
        <v>169.92631516334995</v>
      </c>
      <c r="L55" s="18">
        <f>IFERROR(BP!L31/BP!$F$31*100,"")</f>
        <v>182.8486405649474</v>
      </c>
      <c r="M55" s="18">
        <f>IFERROR(BP!M31/BP!$F$31*100,"")</f>
        <v>201.98232508242708</v>
      </c>
      <c r="N55" s="18">
        <f>IFERROR(BP!N31/BP!$F$31*100,"")</f>
        <v>209.03349798744605</v>
      </c>
      <c r="O55" s="18">
        <f>IFERROR(BP!O31/BP!$F$31*100,"")</f>
        <v>231.38585761281388</v>
      </c>
      <c r="P55" s="18">
        <f>IFERROR(BP!P31/BP!$F$31*100,"")</f>
        <v>251.59033240804695</v>
      </c>
      <c r="Q55" s="18">
        <f>IFERROR(BP!Q31/BP!$F$31*100,"")</f>
        <v>270.74275829424266</v>
      </c>
      <c r="R55" s="18">
        <f>IFERROR(BP!R31/BP!$F$31*100,"")</f>
        <v>274.03021330209862</v>
      </c>
      <c r="S55" s="18">
        <f>IFERROR(BP!S31/BP!$F$31*100,"")</f>
        <v>287.88900045198221</v>
      </c>
      <c r="T55" s="18">
        <f>IFERROR(BP!T31/BP!$F$31*100,"")</f>
        <v>301.13086553074544</v>
      </c>
      <c r="U55" s="18">
        <f>IFERROR(BP!U31/BP!$F$31*100,"")</f>
        <v>291.57437652636315</v>
      </c>
      <c r="V55" s="18">
        <f>IFERROR(BP!V31/BP!$F$31*100,"")</f>
        <v>271.53635832125343</v>
      </c>
      <c r="W55" s="18">
        <f>IFERROR(BP!W31/BP!$F$31*100,"")</f>
        <v>281.78538112571397</v>
      </c>
      <c r="X55" s="18">
        <f>IFERROR(BP!X31/BP!$F$31*100,"")</f>
        <v>291.64119128633183</v>
      </c>
      <c r="Y55" s="18">
        <f>IFERROR(BP!Y31/BP!$F$31*100,"")</f>
        <v>299.66058471223954</v>
      </c>
      <c r="Z55" s="18">
        <f>IFERROR(BP!Z31/BP!$F$31*100,"")</f>
        <v>326.33941766175508</v>
      </c>
      <c r="AA55" s="18">
        <f>IFERROR(BP!AA31/BP!$F$31*100,"")</f>
        <v>316.90286814161198</v>
      </c>
      <c r="AB55" s="18">
        <f>IFERROR(BP!AB31/BP!$F$31*100,"")</f>
        <v>329.08707904623975</v>
      </c>
      <c r="AC55" s="18">
        <f>IFERROR(BP!AC31/BP!$F$31*100,"")</f>
        <v>342.30410950340382</v>
      </c>
      <c r="AD55" s="18">
        <f>IFERROR(BP!AD31/BP!$F$31*100,"")</f>
        <v>351.02791989139763</v>
      </c>
      <c r="AE55" s="18">
        <f>IFERROR(BP!AE31/BP!$F$31*100,"")</f>
        <v>410.52168927654753</v>
      </c>
      <c r="AF55" s="18">
        <f>IFERROR(BP!AF31/BP!$F$31*100,"")</f>
        <v>397.67116402364127</v>
      </c>
    </row>
  </sheetData>
  <conditionalFormatting sqref="C7:AF45">
    <cfRule type="cellIs" dxfId="0" priority="2" operator="notBetween">
      <formula>-0.5</formula>
      <formula>0.5</formula>
    </cfRule>
  </conditionalFormatting>
  <conditionalFormatting sqref="C7:AF56">
    <cfRule type="colorScale" priority="1">
      <colorScale>
        <cfvo type="num" val="-0.5"/>
        <cfvo type="num" val="0"/>
        <cfvo type="num" val="0.5"/>
        <color rgb="FFF2B8B5"/>
        <color rgb="FFFFFFFF"/>
        <color rgb="FFB7D3F6"/>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63"/>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11" width="10.44140625" customWidth="1"/>
  </cols>
  <sheetData>
    <row r="1" spans="1:11" ht="18" x14ac:dyDescent="0.35">
      <c r="A1" s="1" t="s">
        <v>238</v>
      </c>
    </row>
    <row r="2" spans="1:11" x14ac:dyDescent="0.3">
      <c r="A2" s="2" t="s">
        <v>239</v>
      </c>
    </row>
    <row r="4" spans="1:11" x14ac:dyDescent="0.3">
      <c r="A4" s="5" t="s">
        <v>31</v>
      </c>
      <c r="B4" s="5" t="s">
        <v>32</v>
      </c>
      <c r="C4" s="5" t="s">
        <v>240</v>
      </c>
      <c r="D4" s="5" t="s">
        <v>241</v>
      </c>
      <c r="E4" s="5" t="s">
        <v>242</v>
      </c>
      <c r="F4" s="5" t="s">
        <v>243</v>
      </c>
      <c r="G4" s="5" t="s">
        <v>244</v>
      </c>
      <c r="H4" s="5" t="s">
        <v>245</v>
      </c>
      <c r="I4" s="5" t="s">
        <v>246</v>
      </c>
      <c r="J4" s="5" t="s">
        <v>247</v>
      </c>
      <c r="K4" s="5" t="s">
        <v>248</v>
      </c>
    </row>
    <row r="6" spans="1:11" x14ac:dyDescent="0.3">
      <c r="A6" s="6" t="s">
        <v>249</v>
      </c>
      <c r="B6" s="7"/>
      <c r="C6" s="7"/>
      <c r="D6" s="7"/>
      <c r="E6" s="7"/>
      <c r="F6" s="7"/>
      <c r="G6" s="7"/>
      <c r="H6" s="7"/>
      <c r="I6" s="7"/>
      <c r="J6" s="7"/>
      <c r="K6" s="7"/>
    </row>
    <row r="7" spans="1:11" x14ac:dyDescent="0.3">
      <c r="A7" s="3" t="s">
        <v>191</v>
      </c>
      <c r="B7" s="8" t="s">
        <v>250</v>
      </c>
      <c r="C7" s="10">
        <f>SUM(DRE!C7:F7)</f>
        <v>20156.447</v>
      </c>
      <c r="D7" s="10">
        <f>SUM(DRE!G7:J7)</f>
        <v>24996.055999999997</v>
      </c>
      <c r="E7" s="10">
        <f>SUM(DRE!K7:N7)</f>
        <v>29697.844000000001</v>
      </c>
      <c r="F7" s="10">
        <f>SUM(DRE!O7:R7)</f>
        <v>31615.55</v>
      </c>
      <c r="G7" s="10">
        <f>SUM(DRE!S7:V7)</f>
        <v>33723.297000000006</v>
      </c>
      <c r="H7" s="10">
        <f>SUM(DRE!W7:Z7)</f>
        <v>39000.966</v>
      </c>
      <c r="I7" s="10">
        <f>SUM(DRE!AA7:AD7)</f>
        <v>45183.036</v>
      </c>
      <c r="J7" s="10">
        <f>SUM(DRE!AA7:AB7)</f>
        <v>21621.966999999997</v>
      </c>
      <c r="K7" s="10">
        <f>SUM(DRE!AE7:AF7)</f>
        <v>24809.695</v>
      </c>
    </row>
    <row r="8" spans="1:11" x14ac:dyDescent="0.3">
      <c r="A8" s="4" t="s">
        <v>192</v>
      </c>
      <c r="B8" s="8" t="s">
        <v>250</v>
      </c>
      <c r="C8" s="11">
        <f>SUM(DRE!C8:F8)</f>
        <v>12440.213</v>
      </c>
      <c r="D8" s="11">
        <f>SUM(DRE!G8:J8)</f>
        <v>15276.319</v>
      </c>
      <c r="E8" s="11">
        <f>SUM(DRE!K8:N8)</f>
        <v>17332.683000000001</v>
      </c>
      <c r="F8" s="11">
        <f>SUM(DRE!O8:R8)</f>
        <v>19168.285</v>
      </c>
      <c r="G8" s="11">
        <f>SUM(DRE!S8:V8)</f>
        <v>19715.368000000002</v>
      </c>
      <c r="H8" s="11">
        <f>SUM(DRE!W8:Z8)</f>
        <v>21038.464</v>
      </c>
      <c r="I8" s="11">
        <f>SUM(DRE!AA8:AD8)</f>
        <v>23275.328999999998</v>
      </c>
      <c r="J8" s="11">
        <f>SUM(DRE!AA8:AB8)</f>
        <v>10588.457999999999</v>
      </c>
      <c r="K8" s="11">
        <f>SUM(DRE!AE8:AF8)</f>
        <v>11925.203000000001</v>
      </c>
    </row>
    <row r="9" spans="1:11" x14ac:dyDescent="0.3">
      <c r="A9" s="4" t="s">
        <v>193</v>
      </c>
      <c r="B9" s="8" t="s">
        <v>250</v>
      </c>
      <c r="C9" s="11">
        <f>SUM(DRE!C9:F9)</f>
        <v>7716.2340000000004</v>
      </c>
      <c r="D9" s="11">
        <f>SUM(DRE!G9:J9)</f>
        <v>9719.7369999999992</v>
      </c>
      <c r="E9" s="11">
        <f>SUM(DRE!K9:N9)</f>
        <v>12365.161000000002</v>
      </c>
      <c r="F9" s="11">
        <f>SUM(DRE!O9:R9)</f>
        <v>12447.264999999999</v>
      </c>
      <c r="G9" s="11">
        <f>SUM(DRE!S9:V9)</f>
        <v>14007.929</v>
      </c>
      <c r="H9" s="11">
        <f>SUM(DRE!W9:Z9)</f>
        <v>17962.502</v>
      </c>
      <c r="I9" s="11">
        <f>SUM(DRE!AA9:AD9)</f>
        <v>21907.706999999999</v>
      </c>
      <c r="J9" s="11">
        <f>SUM(DRE!AA9:AB9)</f>
        <v>11033.508999999998</v>
      </c>
      <c r="K9" s="11">
        <f>SUM(DRE!AE9:AF9)</f>
        <v>12884.491999999998</v>
      </c>
    </row>
    <row r="10" spans="1:11" x14ac:dyDescent="0.3">
      <c r="A10" s="4" t="s">
        <v>230</v>
      </c>
      <c r="B10" s="8" t="s">
        <v>250</v>
      </c>
      <c r="C10" s="11">
        <f>SUM(DRE!C13:F13)</f>
        <v>5111.9800000000005</v>
      </c>
      <c r="D10" s="11">
        <f>SUM(DRE!G13:J13)</f>
        <v>5134.4480000000003</v>
      </c>
      <c r="E10" s="11">
        <f>SUM(DRE!K13:N13)</f>
        <v>6170.652</v>
      </c>
      <c r="F10" s="11">
        <f>SUM(DRE!O13:R13)</f>
        <v>6814.4339999999993</v>
      </c>
      <c r="G10" s="11">
        <f>SUM(DRE!S13:V13)</f>
        <v>7053.9259999999995</v>
      </c>
      <c r="H10" s="11">
        <f>SUM(DRE!W13:Z13)</f>
        <v>7544.8879999999999</v>
      </c>
      <c r="I10" s="11">
        <f>SUM(DRE!AA13:AD13)</f>
        <v>8581.1039999999994</v>
      </c>
      <c r="J10" s="11">
        <f>SUM(DRE!AA13:AB13)</f>
        <v>3911.8159999999998</v>
      </c>
      <c r="K10" s="11">
        <f>SUM(DRE!AE13:AF13)</f>
        <v>4734.8850000000002</v>
      </c>
    </row>
    <row r="11" spans="1:11" x14ac:dyDescent="0.3">
      <c r="A11" s="3" t="s">
        <v>197</v>
      </c>
      <c r="B11" s="8" t="s">
        <v>250</v>
      </c>
      <c r="C11" s="10">
        <f>SUM(DRE!C14:F14)</f>
        <v>2604.2539999999999</v>
      </c>
      <c r="D11" s="10">
        <f>SUM(DRE!G14:J14)</f>
        <v>4585.2889999999998</v>
      </c>
      <c r="E11" s="10">
        <f>SUM(DRE!K14:N14)</f>
        <v>6194.5090000000009</v>
      </c>
      <c r="F11" s="10">
        <f>SUM(DRE!O14:R14)</f>
        <v>5632.8310000000001</v>
      </c>
      <c r="G11" s="10">
        <f>SUM(DRE!S14:V14)</f>
        <v>6954.0030000000006</v>
      </c>
      <c r="H11" s="10">
        <f>SUM(DRE!W14:Z14)</f>
        <v>10417.614</v>
      </c>
      <c r="I11" s="10">
        <f>SUM(DRE!AA14:AD14)</f>
        <v>13326.603000000001</v>
      </c>
      <c r="J11" s="10">
        <f>SUM(DRE!AA14:AB14)</f>
        <v>7121.6929999999993</v>
      </c>
      <c r="K11" s="10">
        <f>SUM(DRE!AE14:AF14)</f>
        <v>8149.607</v>
      </c>
    </row>
    <row r="12" spans="1:11" x14ac:dyDescent="0.3">
      <c r="A12" s="4" t="s">
        <v>204</v>
      </c>
      <c r="B12" s="8" t="s">
        <v>250</v>
      </c>
      <c r="C12" s="11">
        <f>SUM(DRE!C30:F30)</f>
        <v>2707.8329999999996</v>
      </c>
      <c r="D12" s="11">
        <f>SUM(DRE!G30:J30)</f>
        <v>4700.9989999999998</v>
      </c>
      <c r="E12" s="11">
        <f>SUM(DRE!K30:N30)</f>
        <v>6402.9210000000012</v>
      </c>
      <c r="F12" s="11">
        <f>SUM(DRE!O30:R30)</f>
        <v>5969.5129999999999</v>
      </c>
      <c r="G12" s="11">
        <f>SUM(DRE!S30:V30)</f>
        <v>7310.9500000000007</v>
      </c>
      <c r="H12" s="11">
        <f>SUM(DRE!W30:Z30)</f>
        <v>10746.528</v>
      </c>
      <c r="I12" s="11">
        <f>SUM(DRE!AA30:AD30)</f>
        <v>13659.992</v>
      </c>
      <c r="J12" s="11">
        <f>SUM(DRE!AA30:AB30)</f>
        <v>7281.7729999999992</v>
      </c>
      <c r="K12" s="11">
        <f>SUM(DRE!AE30:AF30)</f>
        <v>8348.7119999999995</v>
      </c>
    </row>
    <row r="13" spans="1:11" x14ac:dyDescent="0.3">
      <c r="A13" s="4" t="s">
        <v>198</v>
      </c>
      <c r="B13" s="8" t="s">
        <v>250</v>
      </c>
      <c r="C13" s="11">
        <f>SUM(DRE!C15:F15)</f>
        <v>626.02299999999991</v>
      </c>
      <c r="D13" s="11">
        <f>SUM(DRE!G15:J15)</f>
        <v>767.49900000000014</v>
      </c>
      <c r="E13" s="11">
        <f>SUM(DRE!K15:N15)</f>
        <v>765.62</v>
      </c>
      <c r="F13" s="11">
        <f>SUM(DRE!O15:R15)</f>
        <v>706.21199999999999</v>
      </c>
      <c r="G13" s="11">
        <f>SUM(DRE!S15:V15)</f>
        <v>699.82600000000002</v>
      </c>
      <c r="H13" s="11">
        <f>SUM(DRE!W15:Z15)</f>
        <v>718.73299999999995</v>
      </c>
      <c r="I13" s="11">
        <f>SUM(DRE!AA15:AD15)</f>
        <v>776.51</v>
      </c>
      <c r="J13" s="11">
        <f>SUM(DRE!AA15:AB15)</f>
        <v>366.82100000000003</v>
      </c>
      <c r="K13" s="11">
        <f>SUM(DRE!AE15:AF15)</f>
        <v>437.762</v>
      </c>
    </row>
    <row r="14" spans="1:11" x14ac:dyDescent="0.3">
      <c r="A14" s="4" t="s">
        <v>199</v>
      </c>
      <c r="B14" s="8" t="s">
        <v>250</v>
      </c>
      <c r="C14" s="11">
        <f>SUM(DRE!C16:F16)</f>
        <v>84</v>
      </c>
      <c r="D14" s="11">
        <f>SUM(DRE!G16:J16)</f>
        <v>-618.44100000000003</v>
      </c>
      <c r="E14" s="11">
        <f>SUM(DRE!K16:N16)</f>
        <v>411.214</v>
      </c>
      <c r="F14" s="11">
        <f>SUM(DRE!O16:R16)</f>
        <v>337.31</v>
      </c>
      <c r="G14" s="11">
        <f>SUM(DRE!S16:V16)</f>
        <v>-48.77200000000002</v>
      </c>
      <c r="H14" s="11">
        <f>SUM(DRE!W16:Z16)</f>
        <v>266.77600000000001</v>
      </c>
      <c r="I14" s="11">
        <f>SUM(DRE!AA16:AD16)</f>
        <v>172.459</v>
      </c>
      <c r="J14" s="11">
        <f>SUM(DRE!AA16:AB16)</f>
        <v>90.528999999999996</v>
      </c>
      <c r="K14" s="11">
        <f>SUM(DRE!AE16:AF16)</f>
        <v>2903.8270000000002</v>
      </c>
    </row>
    <row r="15" spans="1:11" x14ac:dyDescent="0.3">
      <c r="A15" s="3" t="s">
        <v>202</v>
      </c>
      <c r="B15" s="8" t="s">
        <v>250</v>
      </c>
      <c r="C15" s="10">
        <f>SUM(DRE!C19:F19)</f>
        <v>1866.9159999999999</v>
      </c>
      <c r="D15" s="10">
        <f>SUM(DRE!G19:J19)</f>
        <v>2761.3949999999995</v>
      </c>
      <c r="E15" s="10">
        <f>SUM(DRE!K19:N19)</f>
        <v>5116.228000000001</v>
      </c>
      <c r="F15" s="10">
        <f>SUM(DRE!O19:R19)</f>
        <v>4491.9239999999991</v>
      </c>
      <c r="G15" s="10">
        <f>SUM(DRE!S19:V19)</f>
        <v>5407.9900000000007</v>
      </c>
      <c r="H15" s="10">
        <f>SUM(DRE!W19:Z19)</f>
        <v>8711.6309999999994</v>
      </c>
      <c r="I15" s="10">
        <f>SUM(DRE!AA19:AD19)</f>
        <v>10981.201000000001</v>
      </c>
      <c r="J15" s="10">
        <f>SUM(DRE!AA19:AB19)</f>
        <v>6015.7639999999992</v>
      </c>
      <c r="K15" s="10">
        <f>SUM(DRE!AE19:AF19)</f>
        <v>8684.2049999999999</v>
      </c>
    </row>
    <row r="16" spans="1:11" x14ac:dyDescent="0.3">
      <c r="A16" s="4" t="s">
        <v>251</v>
      </c>
      <c r="B16" s="8" t="s">
        <v>252</v>
      </c>
      <c r="C16" s="11">
        <f>SUM(DFC!C7:F7)</f>
        <v>-2887.3220000000001</v>
      </c>
      <c r="D16" s="11">
        <f>SUM(DFC!G7:J7)</f>
        <v>2427.0769999999998</v>
      </c>
      <c r="E16" s="11">
        <f>SUM(DFC!K7:N7)</f>
        <v>392.61</v>
      </c>
      <c r="F16" s="11">
        <f>SUM(DFC!O7:R7)</f>
        <v>2026.2569999999998</v>
      </c>
      <c r="G16" s="11">
        <f>SUM(DFC!S7:V7)</f>
        <v>7274.3010000000004</v>
      </c>
      <c r="H16" s="11">
        <f>SUM(DFC!W7:Z7)</f>
        <v>7361.3639999999996</v>
      </c>
      <c r="I16" s="11">
        <f>SUM(DFC!AA7:AD7)</f>
        <v>10149.273000000001</v>
      </c>
      <c r="J16" s="11">
        <f>SUM(DFC!AA7:AB7)</f>
        <v>5212.4570000000003</v>
      </c>
      <c r="K16" s="11">
        <f>SUM(DFC!AE7:AF7)</f>
        <v>7034.0169999999998</v>
      </c>
    </row>
    <row r="17" spans="1:11" x14ac:dyDescent="0.3">
      <c r="A17" s="4" t="s">
        <v>253</v>
      </c>
      <c r="B17" s="8" t="s">
        <v>252</v>
      </c>
      <c r="C17" s="11">
        <f>SUM(DFC!C9:F9)</f>
        <v>-3140.357</v>
      </c>
      <c r="D17" s="11">
        <f>SUM(DFC!G9:J9)</f>
        <v>1929.1539999999998</v>
      </c>
      <c r="E17" s="11">
        <f>SUM(DFC!K9:N9)</f>
        <v>-131.97500000000002</v>
      </c>
      <c r="F17" s="11">
        <f>SUM(DFC!O9:R9)</f>
        <v>1618.5279999999998</v>
      </c>
      <c r="G17" s="11">
        <f>SUM(DFC!S9:V9)</f>
        <v>6925.7489999999998</v>
      </c>
      <c r="H17" s="11">
        <f>SUM(DFC!W9:Z9)</f>
        <v>6921.826</v>
      </c>
      <c r="I17" s="11">
        <f>SUM(DFC!AA9:AD9)</f>
        <v>9461.0529999999999</v>
      </c>
      <c r="J17" s="11">
        <f>SUM(DFC!AA9:AB9)</f>
        <v>4928.2909999999993</v>
      </c>
      <c r="K17" s="11">
        <f>SUM(DFC!AE9:AF9)</f>
        <v>6619.2429999999995</v>
      </c>
    </row>
    <row r="18" spans="1:11" x14ac:dyDescent="0.3">
      <c r="A18" s="4" t="s">
        <v>234</v>
      </c>
      <c r="B18" s="8" t="s">
        <v>252</v>
      </c>
      <c r="C18" s="11">
        <f>SUM(DFC!C15:F15)</f>
        <v>13916.682999999999</v>
      </c>
      <c r="D18" s="11">
        <f>SUM(DFC!G15:J15)</f>
        <v>11779.284000000001</v>
      </c>
      <c r="E18" s="11">
        <f>SUM(DFC!K15:N15)</f>
        <v>17702.202000000001</v>
      </c>
      <c r="F18" s="11">
        <f>SUM(DFC!O15:R15)</f>
        <v>16839.038</v>
      </c>
      <c r="G18" s="11">
        <f>SUM(DFC!S15:V15)</f>
        <v>12554.703000000001</v>
      </c>
      <c r="H18" s="11">
        <f>SUM(DFC!W15:Z15)</f>
        <v>16223.617</v>
      </c>
      <c r="I18" s="11">
        <f>SUM(DFC!AA15:AD15)</f>
        <v>17096.617000000002</v>
      </c>
      <c r="J18" s="11">
        <f>SUM(DFC!AA15:AB15)</f>
        <v>7385.47</v>
      </c>
      <c r="K18" s="11">
        <f>SUM(DFC!AE15:AF15)</f>
        <v>9774.44</v>
      </c>
    </row>
    <row r="19" spans="1:11" x14ac:dyDescent="0.3">
      <c r="A19" s="4" t="s">
        <v>203</v>
      </c>
      <c r="B19" s="8" t="s">
        <v>250</v>
      </c>
      <c r="C19" s="11">
        <f>SUM(DRE!C28:F28)</f>
        <v>9216.2469999999994</v>
      </c>
      <c r="D19" s="11">
        <f>SUM(DRE!G28:J28)</f>
        <v>10806.912</v>
      </c>
      <c r="E19" s="11">
        <f>SUM(DRE!K28:N28)</f>
        <v>12230.366999999998</v>
      </c>
      <c r="F19" s="11">
        <f>SUM(DRE!O28:R28)</f>
        <v>14026.132000000001</v>
      </c>
      <c r="G19" s="11">
        <f>SUM(DRE!S28:V28)</f>
        <v>14197.437</v>
      </c>
      <c r="H19" s="11">
        <f>SUM(DRE!W28:Z28)</f>
        <v>15301.517</v>
      </c>
      <c r="I19" s="11">
        <f>SUM(DRE!AA28:AD28)</f>
        <v>16422.166000000001</v>
      </c>
      <c r="J19" s="11">
        <f>SUM(DRE!AA28:AB28)</f>
        <v>7655.1859999999997</v>
      </c>
      <c r="K19" s="11">
        <f>SUM(DRE!AE28:AF28)</f>
        <v>8529.2089999999989</v>
      </c>
    </row>
    <row r="20" spans="1:11" x14ac:dyDescent="0.3">
      <c r="A20" s="4" t="s">
        <v>254</v>
      </c>
      <c r="B20" s="8" t="s">
        <v>252</v>
      </c>
      <c r="C20" s="11">
        <f>SUM(DFC!C12:F12)</f>
        <v>0</v>
      </c>
      <c r="D20" s="11">
        <f>SUM(DFC!G12:J12)</f>
        <v>0</v>
      </c>
      <c r="E20" s="11">
        <f>SUM(DFC!K12:N12)</f>
        <v>600.02199999999993</v>
      </c>
      <c r="F20" s="11">
        <f>SUM(DFC!O12:R12)</f>
        <v>0</v>
      </c>
      <c r="G20" s="11">
        <f>SUM(DFC!S12:V12)</f>
        <v>6045.3469999999998</v>
      </c>
      <c r="H20" s="11">
        <f>SUM(DFC!W12:Z12)</f>
        <v>6263.7459999999992</v>
      </c>
      <c r="I20" s="11">
        <f>SUM(DFC!AA12:AD12)</f>
        <v>9127.1670000000013</v>
      </c>
      <c r="J20" s="11">
        <f>SUM(DFC!AA12:AB12)</f>
        <v>5190.723</v>
      </c>
      <c r="K20" s="11">
        <f>SUM(DFC!AE12:AF12)</f>
        <v>5984.991</v>
      </c>
    </row>
    <row r="21" spans="1:11" x14ac:dyDescent="0.3">
      <c r="A21" s="4" t="s">
        <v>255</v>
      </c>
      <c r="B21" s="8" t="s">
        <v>256</v>
      </c>
      <c r="C21" s="11">
        <f>BP!F7</f>
        <v>5018.4369999999999</v>
      </c>
      <c r="D21" s="11">
        <f>BP!J7</f>
        <v>8205.5499999999993</v>
      </c>
      <c r="E21" s="11">
        <f>BP!N7</f>
        <v>6027.8040000000001</v>
      </c>
      <c r="F21" s="11">
        <f>BP!R7</f>
        <v>5147.1760000000004</v>
      </c>
      <c r="G21" s="11">
        <f>BP!V7</f>
        <v>7116.9129999999996</v>
      </c>
      <c r="H21" s="11">
        <f>BP!Z7</f>
        <v>7804.7330000000002</v>
      </c>
      <c r="I21" s="11">
        <f>BP!AD7</f>
        <v>9033.6810000000005</v>
      </c>
      <c r="J21" s="11">
        <f>BP!AB7</f>
        <v>8177.4049999999997</v>
      </c>
      <c r="K21" s="11">
        <f>BP!AF7</f>
        <v>9099.232</v>
      </c>
    </row>
    <row r="22" spans="1:11" x14ac:dyDescent="0.3">
      <c r="A22" s="4" t="s">
        <v>209</v>
      </c>
      <c r="B22" s="8" t="s">
        <v>256</v>
      </c>
      <c r="C22" s="11">
        <f>BP!F10</f>
        <v>6178.5039999999999</v>
      </c>
      <c r="D22" s="11">
        <f>BP!J10</f>
        <v>9761.58</v>
      </c>
      <c r="E22" s="11">
        <f>BP!N10</f>
        <v>8069.8249999999998</v>
      </c>
      <c r="F22" s="11">
        <f>BP!R10</f>
        <v>9266.473</v>
      </c>
      <c r="G22" s="11">
        <f>BP!V10</f>
        <v>9918.1329999999998</v>
      </c>
      <c r="H22" s="11">
        <f>BP!Z10</f>
        <v>13100.378999999999</v>
      </c>
      <c r="I22" s="11">
        <f>BP!AD10</f>
        <v>13020.191000000001</v>
      </c>
      <c r="J22" s="11">
        <f>BP!AB10</f>
        <v>11993.106</v>
      </c>
      <c r="K22" s="11">
        <f>BP!AF10</f>
        <v>13853.303</v>
      </c>
    </row>
    <row r="23" spans="1:11" x14ac:dyDescent="0.3">
      <c r="A23" s="4" t="s">
        <v>210</v>
      </c>
      <c r="B23" s="8" t="s">
        <v>256</v>
      </c>
      <c r="C23" s="11">
        <f>BP!F11</f>
        <v>24504.566999999999</v>
      </c>
      <c r="D23" s="11">
        <f>BP!J11</f>
        <v>25383.95</v>
      </c>
      <c r="E23" s="11">
        <f>BP!N11</f>
        <v>30919.539000000001</v>
      </c>
      <c r="F23" s="11">
        <f>BP!R11</f>
        <v>32736.713</v>
      </c>
      <c r="G23" s="11">
        <f>BP!V11</f>
        <v>31658.056</v>
      </c>
      <c r="H23" s="11">
        <f>BP!Z11</f>
        <v>32452.462</v>
      </c>
      <c r="I23" s="11">
        <f>BP!AD11</f>
        <v>32778.392</v>
      </c>
      <c r="J23" s="11">
        <f>BP!AB11</f>
        <v>32089.394</v>
      </c>
      <c r="K23" s="11">
        <f>BP!AF11</f>
        <v>33837.572999999997</v>
      </c>
    </row>
    <row r="24" spans="1:11" x14ac:dyDescent="0.3">
      <c r="A24" s="3" t="s">
        <v>213</v>
      </c>
      <c r="B24" s="8" t="s">
        <v>256</v>
      </c>
      <c r="C24" s="10">
        <f>BP!F15</f>
        <v>33975.712</v>
      </c>
      <c r="D24" s="10">
        <f>BP!J15</f>
        <v>39280.358999999997</v>
      </c>
      <c r="E24" s="10">
        <f>BP!N15</f>
        <v>44584.663</v>
      </c>
      <c r="F24" s="10">
        <f>BP!R15</f>
        <v>48594.767999999996</v>
      </c>
      <c r="G24" s="10">
        <f>BP!V15</f>
        <v>48731.991999999998</v>
      </c>
      <c r="H24" s="10">
        <f>BP!Z15</f>
        <v>53630.374000000003</v>
      </c>
      <c r="I24" s="10">
        <f>BP!AD15</f>
        <v>55596.993000000002</v>
      </c>
      <c r="J24" s="10">
        <f>BP!AB15</f>
        <v>53099.663999999997</v>
      </c>
      <c r="K24" s="10">
        <f>BP!AF15</f>
        <v>58450.440999999999</v>
      </c>
    </row>
    <row r="25" spans="1:11" x14ac:dyDescent="0.3">
      <c r="A25" s="4" t="s">
        <v>218</v>
      </c>
      <c r="B25" s="8" t="s">
        <v>256</v>
      </c>
      <c r="C25" s="11">
        <f>BP!F24</f>
        <v>6855.6959999999999</v>
      </c>
      <c r="D25" s="11">
        <f>BP!J24</f>
        <v>7805.7849999999999</v>
      </c>
      <c r="E25" s="11">
        <f>BP!N24</f>
        <v>8488.9660000000003</v>
      </c>
      <c r="F25" s="11">
        <f>BP!R24</f>
        <v>7930.9740000000002</v>
      </c>
      <c r="G25" s="11">
        <f>BP!V24</f>
        <v>8860.6550000000007</v>
      </c>
      <c r="H25" s="11">
        <f>BP!Z24</f>
        <v>10755.4</v>
      </c>
      <c r="I25" s="11">
        <f>BP!AD24</f>
        <v>10980.93</v>
      </c>
      <c r="J25" s="11">
        <f>BP!AB24</f>
        <v>8942.3349999999991</v>
      </c>
      <c r="K25" s="11">
        <f>BP!AF24</f>
        <v>12134.897999999999</v>
      </c>
    </row>
    <row r="26" spans="1:11" x14ac:dyDescent="0.3">
      <c r="A26" s="4" t="s">
        <v>143</v>
      </c>
      <c r="B26" s="8" t="s">
        <v>256</v>
      </c>
      <c r="C26" s="11">
        <f>BP!F26</f>
        <v>14759</v>
      </c>
      <c r="D26" s="11">
        <f>BP!J26</f>
        <v>15809.094999999999</v>
      </c>
      <c r="E26" s="11">
        <f>BP!N26</f>
        <v>14693.072</v>
      </c>
      <c r="F26" s="11">
        <f>BP!R26</f>
        <v>14353.075999999999</v>
      </c>
      <c r="G26" s="11">
        <f>BP!V26</f>
        <v>14143.416999999999</v>
      </c>
      <c r="H26" s="11">
        <f>BP!Z26</f>
        <v>13798.351000000001</v>
      </c>
      <c r="I26" s="11">
        <f>BP!AD26</f>
        <v>13463.971</v>
      </c>
      <c r="J26" s="11">
        <f>BP!AB26</f>
        <v>14453.206</v>
      </c>
      <c r="K26" s="11">
        <f>BP!AF26</f>
        <v>11825.548000000001</v>
      </c>
    </row>
    <row r="27" spans="1:11" x14ac:dyDescent="0.3">
      <c r="A27" s="4" t="s">
        <v>257</v>
      </c>
      <c r="B27" s="8" t="s">
        <v>256</v>
      </c>
      <c r="C27" s="11">
        <f>BP!F30</f>
        <v>26393.555</v>
      </c>
      <c r="D27" s="11">
        <f>BP!J30</f>
        <v>28215.118999999999</v>
      </c>
      <c r="E27" s="11">
        <f>BP!N30</f>
        <v>28735.415000000001</v>
      </c>
      <c r="F27" s="11">
        <f>BP!R30</f>
        <v>27817.366999999998</v>
      </c>
      <c r="G27" s="11">
        <f>BP!V30</f>
        <v>28143.679</v>
      </c>
      <c r="H27" s="11">
        <f>BP!Z30</f>
        <v>28886.807000000001</v>
      </c>
      <c r="I27" s="11">
        <f>BP!AD30</f>
        <v>28981.505000000001</v>
      </c>
      <c r="J27" s="11">
        <f>BP!AB30</f>
        <v>28147.764999999999</v>
      </c>
      <c r="K27" s="11">
        <f>BP!AF30</f>
        <v>28298.388999999999</v>
      </c>
    </row>
    <row r="28" spans="1:11" x14ac:dyDescent="0.3">
      <c r="A28" s="3" t="s">
        <v>223</v>
      </c>
      <c r="B28" s="8" t="s">
        <v>256</v>
      </c>
      <c r="C28" s="10">
        <f>BP!F31</f>
        <v>7582.1570000000002</v>
      </c>
      <c r="D28" s="10">
        <f>BP!J31</f>
        <v>11065.24</v>
      </c>
      <c r="E28" s="10">
        <f>BP!N31</f>
        <v>15849.248</v>
      </c>
      <c r="F28" s="10">
        <f>BP!R31</f>
        <v>20777.401000000002</v>
      </c>
      <c r="G28" s="10">
        <f>BP!V31</f>
        <v>20588.312999999998</v>
      </c>
      <c r="H28" s="10">
        <f>BP!Z31</f>
        <v>24743.566999999999</v>
      </c>
      <c r="I28" s="10">
        <f>BP!AD31</f>
        <v>26615.488000000001</v>
      </c>
      <c r="J28" s="10">
        <f>BP!AB31</f>
        <v>24951.899000000001</v>
      </c>
      <c r="K28" s="10">
        <f>BP!AF31</f>
        <v>30152.052</v>
      </c>
    </row>
    <row r="30" spans="1:11" x14ac:dyDescent="0.3">
      <c r="A30" s="6" t="s">
        <v>258</v>
      </c>
      <c r="B30" s="7"/>
      <c r="C30" s="7"/>
      <c r="D30" s="7"/>
      <c r="E30" s="7"/>
      <c r="F30" s="7"/>
      <c r="G30" s="7"/>
      <c r="H30" s="7"/>
      <c r="I30" s="7"/>
      <c r="J30" s="7"/>
      <c r="K30" s="7"/>
    </row>
    <row r="31" spans="1:11" x14ac:dyDescent="0.3">
      <c r="A31" s="3" t="s">
        <v>191</v>
      </c>
      <c r="B31" s="8"/>
      <c r="C31" s="16" t="s">
        <v>229</v>
      </c>
      <c r="D31" s="15">
        <f t="shared" ref="D31:I40" si="0">IFERROR((D7-C7)/ABS(C7),"")</f>
        <v>0.240102285884015</v>
      </c>
      <c r="E31" s="15">
        <f t="shared" si="0"/>
        <v>0.18810119484449886</v>
      </c>
      <c r="F31" s="15">
        <f t="shared" si="0"/>
        <v>6.45739131769969E-2</v>
      </c>
      <c r="G31" s="15">
        <f t="shared" si="0"/>
        <v>6.6668047843545561E-2</v>
      </c>
      <c r="H31" s="15">
        <f t="shared" si="0"/>
        <v>0.1564991999447739</v>
      </c>
      <c r="I31" s="15">
        <f t="shared" si="0"/>
        <v>0.15851068919677527</v>
      </c>
      <c r="J31" s="15"/>
      <c r="K31" s="15">
        <f t="shared" ref="K31:K52" si="1">IFERROR((K7-J7)/ABS(J7),"")</f>
        <v>0.14743006498899952</v>
      </c>
    </row>
    <row r="32" spans="1:11" x14ac:dyDescent="0.3">
      <c r="A32" s="4" t="s">
        <v>192</v>
      </c>
      <c r="B32" s="8"/>
      <c r="C32" s="16" t="s">
        <v>229</v>
      </c>
      <c r="D32" s="14">
        <f t="shared" si="0"/>
        <v>0.22797889393051388</v>
      </c>
      <c r="E32" s="14">
        <f t="shared" si="0"/>
        <v>0.13461122407826137</v>
      </c>
      <c r="F32" s="14">
        <f t="shared" si="0"/>
        <v>0.10590408882456333</v>
      </c>
      <c r="G32" s="14">
        <f t="shared" si="0"/>
        <v>2.8541051012127706E-2</v>
      </c>
      <c r="H32" s="14">
        <f t="shared" si="0"/>
        <v>6.7109880982185954E-2</v>
      </c>
      <c r="I32" s="14">
        <f t="shared" si="0"/>
        <v>0.10632263838272595</v>
      </c>
      <c r="J32" s="14"/>
      <c r="K32" s="14">
        <f t="shared" si="1"/>
        <v>0.12624548352555234</v>
      </c>
    </row>
    <row r="33" spans="1:11" x14ac:dyDescent="0.3">
      <c r="A33" s="4" t="s">
        <v>193</v>
      </c>
      <c r="B33" s="8"/>
      <c r="C33" s="16" t="s">
        <v>229</v>
      </c>
      <c r="D33" s="14">
        <f t="shared" si="0"/>
        <v>0.25964777636344344</v>
      </c>
      <c r="E33" s="14">
        <f t="shared" si="0"/>
        <v>0.27217032724239382</v>
      </c>
      <c r="F33" s="14">
        <f t="shared" si="0"/>
        <v>6.6399458931426392E-3</v>
      </c>
      <c r="G33" s="14">
        <f t="shared" si="0"/>
        <v>0.12538208192723468</v>
      </c>
      <c r="H33" s="14">
        <f t="shared" si="0"/>
        <v>0.28230961193478354</v>
      </c>
      <c r="I33" s="14">
        <f t="shared" si="0"/>
        <v>0.21963560532936882</v>
      </c>
      <c r="J33" s="14"/>
      <c r="K33" s="14">
        <f t="shared" si="1"/>
        <v>0.16776013868298839</v>
      </c>
    </row>
    <row r="34" spans="1:11" x14ac:dyDescent="0.3">
      <c r="A34" s="4" t="s">
        <v>230</v>
      </c>
      <c r="B34" s="8"/>
      <c r="C34" s="16" t="s">
        <v>229</v>
      </c>
      <c r="D34" s="14">
        <f t="shared" si="0"/>
        <v>4.3951658652811327E-3</v>
      </c>
      <c r="E34" s="14">
        <f t="shared" si="0"/>
        <v>0.20181409958772581</v>
      </c>
      <c r="F34" s="14">
        <f t="shared" si="0"/>
        <v>0.10432965592614836</v>
      </c>
      <c r="G34" s="14">
        <f t="shared" si="0"/>
        <v>3.5144811733447003E-2</v>
      </c>
      <c r="H34" s="14">
        <f t="shared" si="0"/>
        <v>6.9601240500680117E-2</v>
      </c>
      <c r="I34" s="14">
        <f t="shared" si="0"/>
        <v>0.13734014341896122</v>
      </c>
      <c r="J34" s="14"/>
      <c r="K34" s="14">
        <f t="shared" si="1"/>
        <v>0.21040585753522162</v>
      </c>
    </row>
    <row r="35" spans="1:11" x14ac:dyDescent="0.3">
      <c r="A35" s="3" t="s">
        <v>197</v>
      </c>
      <c r="B35" s="8"/>
      <c r="C35" s="16" t="s">
        <v>229</v>
      </c>
      <c r="D35" s="15">
        <f t="shared" si="0"/>
        <v>0.76069192943545438</v>
      </c>
      <c r="E35" s="15">
        <f t="shared" si="0"/>
        <v>0.35095279708650889</v>
      </c>
      <c r="F35" s="15">
        <f t="shared" si="0"/>
        <v>-9.0673530379889788E-2</v>
      </c>
      <c r="G35" s="15">
        <f t="shared" si="0"/>
        <v>0.2345484890279862</v>
      </c>
      <c r="H35" s="15">
        <f t="shared" si="0"/>
        <v>0.49807441843208849</v>
      </c>
      <c r="I35" s="15">
        <f t="shared" si="0"/>
        <v>0.27923754902034204</v>
      </c>
      <c r="J35" s="15"/>
      <c r="K35" s="15">
        <f t="shared" si="1"/>
        <v>0.14433562356591345</v>
      </c>
    </row>
    <row r="36" spans="1:11" x14ac:dyDescent="0.3">
      <c r="A36" s="4" t="s">
        <v>204</v>
      </c>
      <c r="B36" s="8"/>
      <c r="C36" s="16" t="s">
        <v>229</v>
      </c>
      <c r="D36" s="14">
        <f t="shared" si="0"/>
        <v>0.73607419659927342</v>
      </c>
      <c r="E36" s="14">
        <f t="shared" si="0"/>
        <v>0.36203411232378513</v>
      </c>
      <c r="F36" s="14">
        <f t="shared" si="0"/>
        <v>-6.768910626884217E-2</v>
      </c>
      <c r="G36" s="14">
        <f t="shared" si="0"/>
        <v>0.22471464590160048</v>
      </c>
      <c r="H36" s="14">
        <f t="shared" si="0"/>
        <v>0.46992223992777943</v>
      </c>
      <c r="I36" s="14">
        <f t="shared" si="0"/>
        <v>0.27110746838420741</v>
      </c>
      <c r="J36" s="14"/>
      <c r="K36" s="14">
        <f t="shared" si="1"/>
        <v>0.14652187042908374</v>
      </c>
    </row>
    <row r="37" spans="1:11" x14ac:dyDescent="0.3">
      <c r="A37" s="4" t="s">
        <v>198</v>
      </c>
      <c r="B37" s="8"/>
      <c r="C37" s="16" t="s">
        <v>229</v>
      </c>
      <c r="D37" s="14">
        <f t="shared" si="0"/>
        <v>0.22599169679069339</v>
      </c>
      <c r="E37" s="14">
        <f t="shared" si="0"/>
        <v>-2.4482116589078715E-3</v>
      </c>
      <c r="F37" s="14">
        <f t="shared" si="0"/>
        <v>-7.7594629189415135E-2</v>
      </c>
      <c r="G37" s="14">
        <f t="shared" si="0"/>
        <v>-9.0426104342604882E-3</v>
      </c>
      <c r="H37" s="14">
        <f t="shared" si="0"/>
        <v>2.7016715583587814E-2</v>
      </c>
      <c r="I37" s="14">
        <f t="shared" si="0"/>
        <v>8.0387292638573776E-2</v>
      </c>
      <c r="J37" s="14"/>
      <c r="K37" s="14">
        <f t="shared" si="1"/>
        <v>0.19339405323032205</v>
      </c>
    </row>
    <row r="38" spans="1:11" x14ac:dyDescent="0.3">
      <c r="A38" s="4" t="s">
        <v>199</v>
      </c>
      <c r="B38" s="8"/>
      <c r="C38" s="16" t="s">
        <v>229</v>
      </c>
      <c r="D38" s="14">
        <f t="shared" si="0"/>
        <v>-8.3623928571428578</v>
      </c>
      <c r="E38" s="14">
        <f t="shared" si="0"/>
        <v>1.6649203400162667</v>
      </c>
      <c r="F38" s="14">
        <f t="shared" si="0"/>
        <v>-0.17972150753622201</v>
      </c>
      <c r="G38" s="14">
        <f t="shared" si="0"/>
        <v>-1.1445910290237467</v>
      </c>
      <c r="H38" s="14">
        <f t="shared" si="0"/>
        <v>6.4698597555974713</v>
      </c>
      <c r="I38" s="14">
        <f t="shared" si="0"/>
        <v>-0.35354379704321232</v>
      </c>
      <c r="J38" s="14"/>
      <c r="K38" s="14">
        <f t="shared" si="1"/>
        <v>31.076207624076268</v>
      </c>
    </row>
    <row r="39" spans="1:11" x14ac:dyDescent="0.3">
      <c r="A39" s="3" t="s">
        <v>202</v>
      </c>
      <c r="B39" s="8"/>
      <c r="C39" s="16" t="s">
        <v>229</v>
      </c>
      <c r="D39" s="15">
        <f t="shared" si="0"/>
        <v>0.47912118167073375</v>
      </c>
      <c r="E39" s="15">
        <f t="shared" si="0"/>
        <v>0.8527693430313309</v>
      </c>
      <c r="F39" s="15">
        <f t="shared" si="0"/>
        <v>-0.12202427256955745</v>
      </c>
      <c r="G39" s="15">
        <f t="shared" si="0"/>
        <v>0.20393621975794823</v>
      </c>
      <c r="H39" s="15">
        <f t="shared" si="0"/>
        <v>0.61088149201459285</v>
      </c>
      <c r="I39" s="15">
        <f t="shared" si="0"/>
        <v>0.26052182421408826</v>
      </c>
      <c r="J39" s="15"/>
      <c r="K39" s="15">
        <f t="shared" si="1"/>
        <v>0.44357474794556451</v>
      </c>
    </row>
    <row r="40" spans="1:11" x14ac:dyDescent="0.3">
      <c r="A40" s="4" t="s">
        <v>251</v>
      </c>
      <c r="B40" s="8"/>
      <c r="C40" s="16" t="s">
        <v>229</v>
      </c>
      <c r="D40" s="14">
        <f t="shared" si="0"/>
        <v>1.8405979658659475</v>
      </c>
      <c r="E40" s="14">
        <f t="shared" si="0"/>
        <v>-0.83823751780433819</v>
      </c>
      <c r="F40" s="14">
        <f t="shared" si="0"/>
        <v>4.1609918239474286</v>
      </c>
      <c r="G40" s="14">
        <f t="shared" si="0"/>
        <v>2.590018936393558</v>
      </c>
      <c r="H40" s="14">
        <f t="shared" si="0"/>
        <v>1.1968572650485482E-2</v>
      </c>
      <c r="I40" s="14">
        <f t="shared" si="0"/>
        <v>0.37872179666703093</v>
      </c>
      <c r="J40" s="14"/>
      <c r="K40" s="14">
        <f t="shared" si="1"/>
        <v>0.349462834897247</v>
      </c>
    </row>
    <row r="41" spans="1:11" x14ac:dyDescent="0.3">
      <c r="A41" s="4" t="s">
        <v>253</v>
      </c>
      <c r="B41" s="8"/>
      <c r="C41" s="16" t="s">
        <v>229</v>
      </c>
      <c r="D41" s="14">
        <f t="shared" ref="D41:I50" si="2">IFERROR((D17-C17)/ABS(C17),"")</f>
        <v>1.6143104112048405</v>
      </c>
      <c r="E41" s="14">
        <f t="shared" si="2"/>
        <v>-1.0684108163474768</v>
      </c>
      <c r="F41" s="14">
        <f t="shared" si="2"/>
        <v>13.263898465618484</v>
      </c>
      <c r="G41" s="14">
        <f t="shared" si="2"/>
        <v>3.2790418207161078</v>
      </c>
      <c r="H41" s="14">
        <f t="shared" si="2"/>
        <v>-5.6643692978185819E-4</v>
      </c>
      <c r="I41" s="14">
        <f t="shared" si="2"/>
        <v>0.3668435178809753</v>
      </c>
      <c r="J41" s="14"/>
      <c r="K41" s="14">
        <f t="shared" si="1"/>
        <v>0.34311123267680427</v>
      </c>
    </row>
    <row r="42" spans="1:11" x14ac:dyDescent="0.3">
      <c r="A42" s="4" t="s">
        <v>234</v>
      </c>
      <c r="B42" s="8"/>
      <c r="C42" s="16" t="s">
        <v>229</v>
      </c>
      <c r="D42" s="14">
        <f t="shared" si="2"/>
        <v>-0.15358537663033625</v>
      </c>
      <c r="E42" s="14">
        <f t="shared" si="2"/>
        <v>0.50282495947971018</v>
      </c>
      <c r="F42" s="14">
        <f t="shared" si="2"/>
        <v>-4.8760261576497696E-2</v>
      </c>
      <c r="G42" s="14">
        <f t="shared" si="2"/>
        <v>-0.25442872686670098</v>
      </c>
      <c r="H42" s="14">
        <f t="shared" si="2"/>
        <v>0.2922342328607852</v>
      </c>
      <c r="I42" s="14">
        <f t="shared" si="2"/>
        <v>5.3810441900841333E-2</v>
      </c>
      <c r="J42" s="14"/>
      <c r="K42" s="14">
        <f t="shared" si="1"/>
        <v>0.32346891937818451</v>
      </c>
    </row>
    <row r="43" spans="1:11" x14ac:dyDescent="0.3">
      <c r="A43" s="4" t="s">
        <v>203</v>
      </c>
      <c r="B43" s="8"/>
      <c r="C43" s="16" t="s">
        <v>229</v>
      </c>
      <c r="D43" s="14">
        <f t="shared" si="2"/>
        <v>0.17259357306721498</v>
      </c>
      <c r="E43" s="14">
        <f t="shared" si="2"/>
        <v>0.13171708995131987</v>
      </c>
      <c r="F43" s="14">
        <f t="shared" si="2"/>
        <v>0.14682838217365049</v>
      </c>
      <c r="G43" s="14">
        <f t="shared" si="2"/>
        <v>1.2213274479378809E-2</v>
      </c>
      <c r="H43" s="14">
        <f t="shared" si="2"/>
        <v>7.7766148918287148E-2</v>
      </c>
      <c r="I43" s="14">
        <f t="shared" si="2"/>
        <v>7.3237771130797116E-2</v>
      </c>
      <c r="J43" s="14"/>
      <c r="K43" s="14">
        <f t="shared" si="1"/>
        <v>0.11417397304258829</v>
      </c>
    </row>
    <row r="44" spans="1:11" x14ac:dyDescent="0.3">
      <c r="A44" s="4" t="s">
        <v>254</v>
      </c>
      <c r="B44" s="8"/>
      <c r="C44" s="16" t="s">
        <v>229</v>
      </c>
      <c r="D44" s="14" t="str">
        <f t="shared" si="2"/>
        <v/>
      </c>
      <c r="E44" s="14" t="str">
        <f t="shared" si="2"/>
        <v/>
      </c>
      <c r="F44" s="14">
        <f t="shared" si="2"/>
        <v>-1</v>
      </c>
      <c r="G44" s="14" t="str">
        <f t="shared" si="2"/>
        <v/>
      </c>
      <c r="H44" s="14">
        <f t="shared" si="2"/>
        <v>3.612679305257406E-2</v>
      </c>
      <c r="I44" s="14">
        <f t="shared" si="2"/>
        <v>0.45714194030217742</v>
      </c>
      <c r="J44" s="14"/>
      <c r="K44" s="14">
        <f t="shared" si="1"/>
        <v>0.15301683407109185</v>
      </c>
    </row>
    <row r="45" spans="1:11" x14ac:dyDescent="0.3">
      <c r="A45" s="4" t="s">
        <v>255</v>
      </c>
      <c r="B45" s="8"/>
      <c r="C45" s="16" t="s">
        <v>229</v>
      </c>
      <c r="D45" s="14">
        <f t="shared" si="2"/>
        <v>0.635080803046845</v>
      </c>
      <c r="E45" s="14">
        <f t="shared" si="2"/>
        <v>-0.2653991505749157</v>
      </c>
      <c r="F45" s="14">
        <f t="shared" si="2"/>
        <v>-0.14609433219792808</v>
      </c>
      <c r="G45" s="14">
        <f t="shared" si="2"/>
        <v>0.38268304794706826</v>
      </c>
      <c r="H45" s="14">
        <f t="shared" si="2"/>
        <v>9.6645835069221822E-2</v>
      </c>
      <c r="I45" s="14">
        <f t="shared" si="2"/>
        <v>0.15746188883079026</v>
      </c>
      <c r="J45" s="14"/>
      <c r="K45" s="14">
        <f t="shared" si="1"/>
        <v>0.11272854897122012</v>
      </c>
    </row>
    <row r="46" spans="1:11" x14ac:dyDescent="0.3">
      <c r="A46" s="4" t="s">
        <v>209</v>
      </c>
      <c r="B46" s="8"/>
      <c r="C46" s="16" t="s">
        <v>229</v>
      </c>
      <c r="D46" s="14">
        <f t="shared" si="2"/>
        <v>0.57992614393387143</v>
      </c>
      <c r="E46" s="14">
        <f t="shared" si="2"/>
        <v>-0.17330749735186313</v>
      </c>
      <c r="F46" s="14">
        <f t="shared" si="2"/>
        <v>0.14828673484245322</v>
      </c>
      <c r="G46" s="14">
        <f t="shared" si="2"/>
        <v>7.0324491314009099E-2</v>
      </c>
      <c r="H46" s="14">
        <f t="shared" si="2"/>
        <v>0.32085131344780304</v>
      </c>
      <c r="I46" s="14">
        <f t="shared" si="2"/>
        <v>-6.121044284291186E-3</v>
      </c>
      <c r="J46" s="14"/>
      <c r="K46" s="14">
        <f t="shared" si="1"/>
        <v>0.15510552479065892</v>
      </c>
    </row>
    <row r="47" spans="1:11" x14ac:dyDescent="0.3">
      <c r="A47" s="4" t="s">
        <v>210</v>
      </c>
      <c r="B47" s="8"/>
      <c r="C47" s="16" t="s">
        <v>229</v>
      </c>
      <c r="D47" s="14">
        <f t="shared" si="2"/>
        <v>3.5886494138011156E-2</v>
      </c>
      <c r="E47" s="14">
        <f t="shared" si="2"/>
        <v>0.21807437376767602</v>
      </c>
      <c r="F47" s="14">
        <f t="shared" si="2"/>
        <v>5.8771057356320835E-2</v>
      </c>
      <c r="G47" s="14">
        <f t="shared" si="2"/>
        <v>-3.2949459525762385E-2</v>
      </c>
      <c r="H47" s="14">
        <f t="shared" si="2"/>
        <v>2.5093328535397089E-2</v>
      </c>
      <c r="I47" s="14">
        <f t="shared" si="2"/>
        <v>1.0043305805272965E-2</v>
      </c>
      <c r="J47" s="14"/>
      <c r="K47" s="14">
        <f t="shared" si="1"/>
        <v>5.4478404920952898E-2</v>
      </c>
    </row>
    <row r="48" spans="1:11" x14ac:dyDescent="0.3">
      <c r="A48" s="4" t="s">
        <v>213</v>
      </c>
      <c r="B48" s="8"/>
      <c r="C48" s="16" t="s">
        <v>229</v>
      </c>
      <c r="D48" s="14">
        <f t="shared" si="2"/>
        <v>0.15613056173774953</v>
      </c>
      <c r="E48" s="14">
        <f t="shared" si="2"/>
        <v>0.13503705503302565</v>
      </c>
      <c r="F48" s="14">
        <f t="shared" si="2"/>
        <v>8.9943597869069816E-2</v>
      </c>
      <c r="G48" s="14">
        <f t="shared" si="2"/>
        <v>2.8238430935610599E-3</v>
      </c>
      <c r="H48" s="14">
        <f t="shared" si="2"/>
        <v>0.10051676114532739</v>
      </c>
      <c r="I48" s="14">
        <f t="shared" si="2"/>
        <v>3.6669872934318871E-2</v>
      </c>
      <c r="J48" s="14"/>
      <c r="K48" s="14">
        <f t="shared" si="1"/>
        <v>0.10076856606851603</v>
      </c>
    </row>
    <row r="49" spans="1:11" x14ac:dyDescent="0.3">
      <c r="A49" s="4" t="s">
        <v>218</v>
      </c>
      <c r="B49" s="8"/>
      <c r="C49" s="16" t="s">
        <v>229</v>
      </c>
      <c r="D49" s="14">
        <f t="shared" si="2"/>
        <v>0.13858388703349739</v>
      </c>
      <c r="E49" s="14">
        <f t="shared" si="2"/>
        <v>8.7522395249164622E-2</v>
      </c>
      <c r="F49" s="14">
        <f t="shared" si="2"/>
        <v>-6.5731444795514571E-2</v>
      </c>
      <c r="G49" s="14">
        <f t="shared" si="2"/>
        <v>0.11722154176775772</v>
      </c>
      <c r="H49" s="14">
        <f t="shared" si="2"/>
        <v>0.2138380289041836</v>
      </c>
      <c r="I49" s="14">
        <f t="shared" si="2"/>
        <v>2.0969001617792055E-2</v>
      </c>
      <c r="J49" s="14"/>
      <c r="K49" s="14">
        <f t="shared" si="1"/>
        <v>0.35701670760489296</v>
      </c>
    </row>
    <row r="50" spans="1:11" x14ac:dyDescent="0.3">
      <c r="A50" s="4" t="s">
        <v>143</v>
      </c>
      <c r="B50" s="8"/>
      <c r="C50" s="16" t="s">
        <v>229</v>
      </c>
      <c r="D50" s="14">
        <f t="shared" si="2"/>
        <v>7.1149468121146378E-2</v>
      </c>
      <c r="E50" s="14">
        <f t="shared" si="2"/>
        <v>-7.0593731013698077E-2</v>
      </c>
      <c r="F50" s="14">
        <f t="shared" si="2"/>
        <v>-2.3139885246597922E-2</v>
      </c>
      <c r="G50" s="14">
        <f t="shared" si="2"/>
        <v>-1.4607252131877493E-2</v>
      </c>
      <c r="H50" s="14">
        <f t="shared" si="2"/>
        <v>-2.4397640259068858E-2</v>
      </c>
      <c r="I50" s="14">
        <f t="shared" si="2"/>
        <v>-2.423333048999848E-2</v>
      </c>
      <c r="J50" s="14"/>
      <c r="K50" s="14">
        <f t="shared" si="1"/>
        <v>-0.18180450759506225</v>
      </c>
    </row>
    <row r="51" spans="1:11" x14ac:dyDescent="0.3">
      <c r="A51" s="4" t="s">
        <v>257</v>
      </c>
      <c r="B51" s="8"/>
      <c r="C51" s="16" t="s">
        <v>229</v>
      </c>
      <c r="D51" s="14">
        <f t="shared" ref="D51:I60" si="3">IFERROR((D27-C27)/ABS(C27),"")</f>
        <v>6.9015485030341633E-2</v>
      </c>
      <c r="E51" s="14">
        <f t="shared" si="3"/>
        <v>1.8440326266212174E-2</v>
      </c>
      <c r="F51" s="14">
        <f t="shared" si="3"/>
        <v>-3.1948311865341167E-2</v>
      </c>
      <c r="G51" s="14">
        <f t="shared" si="3"/>
        <v>1.1730513531349022E-2</v>
      </c>
      <c r="H51" s="14">
        <f t="shared" si="3"/>
        <v>2.6404792351419324E-2</v>
      </c>
      <c r="I51" s="14">
        <f t="shared" si="3"/>
        <v>3.2782439402181183E-3</v>
      </c>
      <c r="J51" s="14"/>
      <c r="K51" s="14">
        <f t="shared" si="1"/>
        <v>5.3511886290083703E-3</v>
      </c>
    </row>
    <row r="52" spans="1:11" x14ac:dyDescent="0.3">
      <c r="A52" s="4" t="s">
        <v>223</v>
      </c>
      <c r="B52" s="8"/>
      <c r="C52" s="16" t="s">
        <v>229</v>
      </c>
      <c r="D52" s="14">
        <f t="shared" si="3"/>
        <v>0.45937890761164663</v>
      </c>
      <c r="E52" s="14">
        <f t="shared" si="3"/>
        <v>0.43234561563960655</v>
      </c>
      <c r="F52" s="14">
        <f t="shared" si="3"/>
        <v>0.31093923194337059</v>
      </c>
      <c r="G52" s="14">
        <f t="shared" si="3"/>
        <v>-9.1006570071012899E-3</v>
      </c>
      <c r="H52" s="14">
        <f t="shared" si="3"/>
        <v>0.20182586110867856</v>
      </c>
      <c r="I52" s="14">
        <f t="shared" si="3"/>
        <v>7.5652835341000035E-2</v>
      </c>
      <c r="J52" s="14"/>
      <c r="K52" s="14">
        <f t="shared" si="1"/>
        <v>0.20840710360361744</v>
      </c>
    </row>
    <row r="54" spans="1:11" x14ac:dyDescent="0.3">
      <c r="A54" s="6" t="s">
        <v>259</v>
      </c>
      <c r="B54" s="7"/>
      <c r="C54" s="7"/>
      <c r="D54" s="7"/>
      <c r="E54" s="7"/>
      <c r="F54" s="7"/>
      <c r="G54" s="7"/>
      <c r="H54" s="7"/>
      <c r="I54" s="7"/>
      <c r="J54" s="7"/>
      <c r="K54" s="7"/>
    </row>
    <row r="55" spans="1:11" x14ac:dyDescent="0.3">
      <c r="A55" s="4" t="s">
        <v>260</v>
      </c>
      <c r="B55" s="8"/>
      <c r="C55" s="14">
        <f t="shared" ref="C55:K55" si="4">C11/C7</f>
        <v>0.12920203645017397</v>
      </c>
      <c r="D55" s="14">
        <f t="shared" si="4"/>
        <v>0.18344049957321268</v>
      </c>
      <c r="E55" s="14">
        <f t="shared" si="4"/>
        <v>0.20858446828665411</v>
      </c>
      <c r="F55" s="14">
        <f t="shared" si="4"/>
        <v>0.17816647187855345</v>
      </c>
      <c r="G55" s="14">
        <f t="shared" si="4"/>
        <v>0.20620768485358948</v>
      </c>
      <c r="H55" s="14">
        <f t="shared" si="4"/>
        <v>0.26711169154117875</v>
      </c>
      <c r="I55" s="14">
        <f t="shared" si="4"/>
        <v>0.29494704605507255</v>
      </c>
      <c r="J55" s="14">
        <f t="shared" si="4"/>
        <v>0.32937303992740347</v>
      </c>
      <c r="K55" s="14">
        <f t="shared" si="4"/>
        <v>0.32848477177974178</v>
      </c>
    </row>
    <row r="56" spans="1:11" x14ac:dyDescent="0.3">
      <c r="A56" s="4" t="s">
        <v>261</v>
      </c>
      <c r="B56" s="8"/>
      <c r="C56" s="14">
        <f t="shared" ref="C56:K56" si="5">C15/C7</f>
        <v>9.262128389988572E-2</v>
      </c>
      <c r="D56" s="14">
        <f t="shared" si="5"/>
        <v>0.11047322825648974</v>
      </c>
      <c r="E56" s="14">
        <f t="shared" si="5"/>
        <v>0.1722760749904943</v>
      </c>
      <c r="F56" s="14">
        <f t="shared" si="5"/>
        <v>0.14207957792921519</v>
      </c>
      <c r="G56" s="14">
        <f t="shared" si="5"/>
        <v>0.16036362043723068</v>
      </c>
      <c r="H56" s="14">
        <f t="shared" si="5"/>
        <v>0.22336962115246067</v>
      </c>
      <c r="I56" s="14">
        <f t="shared" si="5"/>
        <v>0.24303813935832025</v>
      </c>
      <c r="J56" s="14">
        <f t="shared" si="5"/>
        <v>0.27822464070914549</v>
      </c>
      <c r="K56" s="14">
        <f t="shared" si="5"/>
        <v>0.35003271906405942</v>
      </c>
    </row>
    <row r="57" spans="1:11" x14ac:dyDescent="0.3">
      <c r="A57" s="3" t="s">
        <v>262</v>
      </c>
      <c r="B57" s="8"/>
      <c r="C57" s="19" t="s">
        <v>229</v>
      </c>
      <c r="D57" s="20">
        <f t="shared" ref="D57:I57" si="6">IFERROR(D35/D31,"")</f>
        <v>3.1681994473093771</v>
      </c>
      <c r="E57" s="20">
        <f t="shared" si="6"/>
        <v>1.8657659106133675</v>
      </c>
      <c r="F57" s="20">
        <f t="shared" si="6"/>
        <v>-1.404182059268329</v>
      </c>
      <c r="G57" s="20">
        <f t="shared" si="6"/>
        <v>3.5181544475161037</v>
      </c>
      <c r="H57" s="20">
        <f t="shared" si="6"/>
        <v>3.1826004133430144</v>
      </c>
      <c r="I57" s="20">
        <f t="shared" si="6"/>
        <v>1.7616322939186539</v>
      </c>
      <c r="J57" s="20"/>
      <c r="K57" s="20">
        <f>IFERROR(K35/K31,"")</f>
        <v>0.97901078437890565</v>
      </c>
    </row>
    <row r="58" spans="1:11" x14ac:dyDescent="0.3">
      <c r="A58" s="3" t="s">
        <v>263</v>
      </c>
      <c r="B58" s="8"/>
      <c r="C58" s="19" t="s">
        <v>229</v>
      </c>
      <c r="D58" s="20">
        <f t="shared" ref="D58:I58" si="7">IFERROR(D39/D35,"")</f>
        <v>0.62984917169597465</v>
      </c>
      <c r="E58" s="20">
        <f t="shared" si="7"/>
        <v>2.4298690596306192</v>
      </c>
      <c r="F58" s="20">
        <f t="shared" si="7"/>
        <v>1.3457540702156321</v>
      </c>
      <c r="G58" s="20">
        <f t="shared" si="7"/>
        <v>0.86948426145527069</v>
      </c>
      <c r="H58" s="20">
        <f t="shared" si="7"/>
        <v>1.2264863831746569</v>
      </c>
      <c r="I58" s="20">
        <f t="shared" si="7"/>
        <v>0.93297561566517562</v>
      </c>
      <c r="J58" s="20"/>
      <c r="K58" s="20">
        <f>IFERROR(K39/K35,"")</f>
        <v>3.0732173872723676</v>
      </c>
    </row>
    <row r="59" spans="1:11" x14ac:dyDescent="0.3">
      <c r="A59" s="3" t="s">
        <v>264</v>
      </c>
      <c r="B59" s="8"/>
      <c r="C59" s="19" t="s">
        <v>229</v>
      </c>
      <c r="D59" s="20">
        <f t="shared" ref="D59:I59" si="8">IFERROR(D57*D58,"")</f>
        <v>1.9954877976554559</v>
      </c>
      <c r="E59" s="20">
        <f t="shared" si="8"/>
        <v>4.5335668587129687</v>
      </c>
      <c r="F59" s="20">
        <f t="shared" si="8"/>
        <v>-1.8896837215841216</v>
      </c>
      <c r="G59" s="20">
        <f t="shared" si="8"/>
        <v>3.0589799214841151</v>
      </c>
      <c r="H59" s="20">
        <f t="shared" si="8"/>
        <v>3.9034160700512417</v>
      </c>
      <c r="I59" s="20">
        <f t="shared" si="8"/>
        <v>1.6435599739944118</v>
      </c>
      <c r="J59" s="20"/>
      <c r="K59" s="20">
        <f>IFERROR(K57*K58,"")</f>
        <v>3.0087129648804116</v>
      </c>
    </row>
    <row r="61" spans="1:11" x14ac:dyDescent="0.3">
      <c r="A61" s="8" t="s">
        <v>265</v>
      </c>
    </row>
    <row r="63" spans="1:11" x14ac:dyDescent="0.3">
      <c r="A63" s="8" t="s">
        <v>266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62"/>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267</v>
      </c>
    </row>
    <row r="2" spans="1:32" x14ac:dyDescent="0.3">
      <c r="A2" s="2" t="s">
        <v>268</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269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4" t="s">
        <v>270</v>
      </c>
      <c r="B7" s="8"/>
      <c r="C7" s="14">
        <f>IFERROR(DRE!C9/DRE!C7,"")</f>
        <v>0.3650477594297889</v>
      </c>
      <c r="D7" s="14">
        <f>IFERROR(DRE!D9/DRE!D7,"")</f>
        <v>0.38948076787140501</v>
      </c>
      <c r="E7" s="14">
        <f>IFERROR(DRE!E9/DRE!E7,"")</f>
        <v>0.40934697577935159</v>
      </c>
      <c r="F7" s="14">
        <f>IFERROR(DRE!F9/DRE!F7,"")</f>
        <v>0.36606038591412354</v>
      </c>
      <c r="G7" s="14">
        <f>IFERROR(DRE!G9/DRE!G7,"")</f>
        <v>0.37588525460188488</v>
      </c>
      <c r="H7" s="14">
        <f>IFERROR(DRE!H9/DRE!H7,"")</f>
        <v>0.40736214938602405</v>
      </c>
      <c r="I7" s="14">
        <f>IFERROR(DRE!I9/DRE!I7,"")</f>
        <v>0.39901038545213158</v>
      </c>
      <c r="J7" s="14">
        <f>IFERROR(DRE!J9/DRE!J7,"")</f>
        <v>0.37313622423071796</v>
      </c>
      <c r="K7" s="14">
        <f>IFERROR(DRE!K9/DRE!K7,"")</f>
        <v>0.45995271441219265</v>
      </c>
      <c r="L7" s="14">
        <f>IFERROR(DRE!L9/DRE!L7,"")</f>
        <v>0.45271996139354276</v>
      </c>
      <c r="M7" s="14">
        <f>IFERROR(DRE!M9/DRE!M7,"")</f>
        <v>0.43788233448480496</v>
      </c>
      <c r="N7" s="14">
        <f>IFERROR(DRE!N9/DRE!N7,"")</f>
        <v>0.32035816916619608</v>
      </c>
      <c r="O7" s="14">
        <f>IFERROR(DRE!O9/DRE!O7,"")</f>
        <v>0.45541028350229484</v>
      </c>
      <c r="P7" s="14">
        <f>IFERROR(DRE!P9/DRE!P7,"")</f>
        <v>0.41145896917005603</v>
      </c>
      <c r="Q7" s="14">
        <f>IFERROR(DRE!Q9/DRE!Q7,"")</f>
        <v>0.39579695591078468</v>
      </c>
      <c r="R7" s="14">
        <f>IFERROR(DRE!R9/DRE!R7,"")</f>
        <v>0.3117519711087024</v>
      </c>
      <c r="S7" s="14">
        <f>IFERROR(DRE!S9/DRE!S7,"")</f>
        <v>0.41142887529417066</v>
      </c>
      <c r="T7" s="14">
        <f>IFERROR(DRE!T9/DRE!T7,"")</f>
        <v>0.42918062985591954</v>
      </c>
      <c r="U7" s="14">
        <f>IFERROR(DRE!U9/DRE!U7,"")</f>
        <v>0.42273710474347637</v>
      </c>
      <c r="V7" s="14">
        <f>IFERROR(DRE!V9/DRE!V7,"")</f>
        <v>0.39911806245453757</v>
      </c>
      <c r="W7" s="14">
        <f>IFERROR(DRE!W9/DRE!W7,"")</f>
        <v>0.46885386385271127</v>
      </c>
      <c r="X7" s="14">
        <f>IFERROR(DRE!X9/DRE!X7,"")</f>
        <v>0.45873258634775937</v>
      </c>
      <c r="Y7" s="14">
        <f>IFERROR(DRE!Y9/DRE!Y7,"")</f>
        <v>0.47887646069301021</v>
      </c>
      <c r="Z7" s="14">
        <f>IFERROR(DRE!Z9/DRE!Z7,"")</f>
        <v>0.43713885884885922</v>
      </c>
      <c r="AA7" s="14">
        <f>IFERROR(DRE!AA9/DRE!AA7,"")</f>
        <v>0.50078285647239285</v>
      </c>
      <c r="AB7" s="14">
        <f>IFERROR(DRE!AB9/DRE!AB7,"")</f>
        <v>0.51934008390162223</v>
      </c>
      <c r="AC7" s="14">
        <f>IFERROR(DRE!AC9/DRE!AC7,"")</f>
        <v>0.4644582459877048</v>
      </c>
      <c r="AD7" s="14">
        <f>IFERROR(DRE!AD9/DRE!AD7,"")</f>
        <v>0.4587378789822586</v>
      </c>
      <c r="AE7" s="14">
        <f>IFERROR(DRE!AE9/DRE!AE7,"")</f>
        <v>0.51931797504228039</v>
      </c>
      <c r="AF7" s="14">
        <f>IFERROR(DRE!AF9/DRE!AF7,"")</f>
        <v>0.51934754773471015</v>
      </c>
    </row>
    <row r="8" spans="1:32" x14ac:dyDescent="0.3">
      <c r="A8" s="3" t="s">
        <v>271</v>
      </c>
      <c r="B8" s="8"/>
      <c r="C8" s="15">
        <f>IFERROR(DRE!C14/DRE!C7,"")</f>
        <v>0.10154497066130624</v>
      </c>
      <c r="D8" s="15">
        <f>IFERROR(DRE!D14/DRE!D7,"")</f>
        <v>0.14349022042137538</v>
      </c>
      <c r="E8" s="15">
        <f>IFERROR(DRE!E14/DRE!E7,"")</f>
        <v>0.18689356623237216</v>
      </c>
      <c r="F8" s="15">
        <f>IFERROR(DRE!F14/DRE!F7,"")</f>
        <v>8.3862374927616848E-2</v>
      </c>
      <c r="G8" s="15">
        <f>IFERROR(DRE!G14/DRE!G7,"")</f>
        <v>0.1661420488718969</v>
      </c>
      <c r="H8" s="15">
        <f>IFERROR(DRE!H14/DRE!H7,"")</f>
        <v>0.22086285511116438</v>
      </c>
      <c r="I8" s="15">
        <f>IFERROR(DRE!I14/DRE!I7,"")</f>
        <v>0.20430968993434517</v>
      </c>
      <c r="J8" s="15">
        <f>IFERROR(DRE!J14/DRE!J7,"")</f>
        <v>0.14361506955738348</v>
      </c>
      <c r="K8" s="15">
        <f>IFERROR(DRE!K14/DRE!K7,"")</f>
        <v>0.27359749343945977</v>
      </c>
      <c r="L8" s="15">
        <f>IFERROR(DRE!L14/DRE!L7,"")</f>
        <v>0.25165978209362672</v>
      </c>
      <c r="M8" s="15">
        <f>IFERROR(DRE!M14/DRE!M7,"")</f>
        <v>0.23455077706629826</v>
      </c>
      <c r="N8" s="15">
        <f>IFERROR(DRE!N14/DRE!N7,"")</f>
        <v>8.1948883156720276E-2</v>
      </c>
      <c r="O8" s="15">
        <f>IFERROR(DRE!O14/DRE!O7,"")</f>
        <v>0.25059537223204503</v>
      </c>
      <c r="P8" s="15">
        <f>IFERROR(DRE!P14/DRE!P7,"")</f>
        <v>0.19802447660587177</v>
      </c>
      <c r="Q8" s="15">
        <f>IFERROR(DRE!Q14/DRE!Q7,"")</f>
        <v>0.19342638130743342</v>
      </c>
      <c r="R8" s="15">
        <f>IFERROR(DRE!R14/DRE!R7,"")</f>
        <v>7.0033149292293373E-2</v>
      </c>
      <c r="S8" s="15">
        <f>IFERROR(DRE!S14/DRE!S7,"")</f>
        <v>0.21004917844176493</v>
      </c>
      <c r="T8" s="15">
        <f>IFERROR(DRE!T14/DRE!T7,"")</f>
        <v>0.2231728136048742</v>
      </c>
      <c r="U8" s="15">
        <f>IFERROR(DRE!U14/DRE!U7,"")</f>
        <v>0.22435828692943818</v>
      </c>
      <c r="V8" s="15">
        <f>IFERROR(DRE!V14/DRE!V7,"")</f>
        <v>0.16938057756153899</v>
      </c>
      <c r="W8" s="15">
        <f>IFERROR(DRE!W14/DRE!W7,"")</f>
        <v>0.28094027601692129</v>
      </c>
      <c r="X8" s="15">
        <f>IFERROR(DRE!X14/DRE!X7,"")</f>
        <v>0.27228293673915793</v>
      </c>
      <c r="Y8" s="15">
        <f>IFERROR(DRE!Y14/DRE!Y7,"")</f>
        <v>0.29613892654057833</v>
      </c>
      <c r="Z8" s="15">
        <f>IFERROR(DRE!Z14/DRE!Z7,"")</f>
        <v>0.22180872653945799</v>
      </c>
      <c r="AA8" s="15">
        <f>IFERROR(DRE!AA14/DRE!AA7,"")</f>
        <v>0.31746772039043514</v>
      </c>
      <c r="AB8" s="15">
        <f>IFERROR(DRE!AB14/DRE!AB7,"")</f>
        <v>0.34070199868834888</v>
      </c>
      <c r="AC8" s="15">
        <f>IFERROR(DRE!AC14/DRE!AC7,"")</f>
        <v>0.28220333306487833</v>
      </c>
      <c r="AD8" s="15">
        <f>IFERROR(DRE!AD14/DRE!AD7,"")</f>
        <v>0.24535070894272082</v>
      </c>
      <c r="AE8" s="15">
        <f>IFERROR(DRE!AE14/DRE!AE7,"")</f>
        <v>0.32302657105769522</v>
      </c>
      <c r="AF8" s="15">
        <f>IFERROR(DRE!AF14/DRE!AF7,"")</f>
        <v>0.33380817644163535</v>
      </c>
    </row>
    <row r="9" spans="1:32" x14ac:dyDescent="0.3">
      <c r="A9" s="4" t="s">
        <v>272</v>
      </c>
      <c r="B9" s="8"/>
      <c r="C9" s="14">
        <f>IFERROR(DRE!C30/DRE!C7,"")</f>
        <v>0.10675643752521576</v>
      </c>
      <c r="D9" s="14">
        <f>IFERROR(DRE!D30/DRE!D7,"")</f>
        <v>0.14866905431438135</v>
      </c>
      <c r="E9" s="14">
        <f>IFERROR(DRE!E30/DRE!E7,"")</f>
        <v>0.1919849835221038</v>
      </c>
      <c r="F9" s="14">
        <f>IFERROR(DRE!F30/DRE!F7,"")</f>
        <v>8.8950319290548349E-2</v>
      </c>
      <c r="G9" s="14">
        <f>IFERROR(DRE!G30/DRE!G7,"")</f>
        <v>0.17108631513026615</v>
      </c>
      <c r="H9" s="14">
        <f>IFERROR(DRE!H30/DRE!H7,"")</f>
        <v>0.22519918559416402</v>
      </c>
      <c r="I9" s="14">
        <f>IFERROR(DRE!I30/DRE!I7,"")</f>
        <v>0.20875198523471716</v>
      </c>
      <c r="J9" s="14">
        <f>IFERROR(DRE!J30/DRE!J7,"")</f>
        <v>0.14842254624240833</v>
      </c>
      <c r="K9" s="14">
        <f>IFERROR(DRE!K30/DRE!K7,"")</f>
        <v>0.27858696614205614</v>
      </c>
      <c r="L9" s="14">
        <f>IFERROR(DRE!L30/DRE!L7,"")</f>
        <v>0.25689475449880872</v>
      </c>
      <c r="M9" s="14">
        <f>IFERROR(DRE!M30/DRE!M7,"")</f>
        <v>0.24393853811341717</v>
      </c>
      <c r="N9" s="14">
        <f>IFERROR(DRE!N30/DRE!N7,"")</f>
        <v>9.0248449992593432E-2</v>
      </c>
      <c r="O9" s="14">
        <f>IFERROR(DRE!O30/DRE!O7,"")</f>
        <v>0.26007735104509327</v>
      </c>
      <c r="P9" s="14">
        <f>IFERROR(DRE!P30/DRE!P7,"")</f>
        <v>0.20850170655701067</v>
      </c>
      <c r="Q9" s="14">
        <f>IFERROR(DRE!Q30/DRE!Q7,"")</f>
        <v>0.20417485690968837</v>
      </c>
      <c r="R9" s="14">
        <f>IFERROR(DRE!R30/DRE!R7,"")</f>
        <v>8.192647196854122E-2</v>
      </c>
      <c r="S9" s="14">
        <f>IFERROR(DRE!S30/DRE!S7,"")</f>
        <v>0.2211176054214524</v>
      </c>
      <c r="T9" s="14">
        <f>IFERROR(DRE!T30/DRE!T7,"")</f>
        <v>0.23409033086727851</v>
      </c>
      <c r="U9" s="14">
        <f>IFERROR(DRE!U30/DRE!U7,"")</f>
        <v>0.23497213893117835</v>
      </c>
      <c r="V9" s="14">
        <f>IFERROR(DRE!V30/DRE!V7,"")</f>
        <v>0.17918117929428024</v>
      </c>
      <c r="W9" s="14">
        <f>IFERROR(DRE!W30/DRE!W7,"")</f>
        <v>0.29024976415195014</v>
      </c>
      <c r="X9" s="14">
        <f>IFERROR(DRE!X30/DRE!X7,"")</f>
        <v>0.28078009814515897</v>
      </c>
      <c r="Y9" s="14">
        <f>IFERROR(DRE!Y30/DRE!Y7,"")</f>
        <v>0.30437469712824905</v>
      </c>
      <c r="Z9" s="14">
        <f>IFERROR(DRE!Z30/DRE!Z7,"")</f>
        <v>0.22957126975781922</v>
      </c>
      <c r="AA9" s="14">
        <f>IFERROR(DRE!AA30/DRE!AA7,"")</f>
        <v>0.32506219172684753</v>
      </c>
      <c r="AB9" s="14">
        <f>IFERROR(DRE!AB30/DRE!AB7,"")</f>
        <v>0.3479239321804547</v>
      </c>
      <c r="AC9" s="14">
        <f>IFERROR(DRE!AC30/DRE!AC7,"")</f>
        <v>0.28979009856122867</v>
      </c>
      <c r="AD9" s="14">
        <f>IFERROR(DRE!AD30/DRE!AD7,"")</f>
        <v>0.25248577641812198</v>
      </c>
      <c r="AE9" s="14">
        <f>IFERROR(DRE!AE30/DRE!AE7,"")</f>
        <v>0.33107366946136152</v>
      </c>
      <c r="AF9" s="14">
        <f>IFERROR(DRE!AF30/DRE!AF7,"")</f>
        <v>0.34181219684364689</v>
      </c>
    </row>
    <row r="10" spans="1:32" x14ac:dyDescent="0.3">
      <c r="A10" s="4" t="s">
        <v>261</v>
      </c>
      <c r="B10" s="8"/>
      <c r="C10" s="14">
        <f>IFERROR(DRE!C19/DRE!C7,"")</f>
        <v>7.6100997303246778E-2</v>
      </c>
      <c r="D10" s="14">
        <f>IFERROR(DRE!D19/DRE!D7,"")</f>
        <v>5.497534488319996E-2</v>
      </c>
      <c r="E10" s="14">
        <f>IFERROR(DRE!E19/DRE!E7,"")</f>
        <v>0.12683623440272035</v>
      </c>
      <c r="F10" s="14">
        <f>IFERROR(DRE!F19/DRE!F7,"")</f>
        <v>0.10735749164964771</v>
      </c>
      <c r="G10" s="14">
        <f>IFERROR(DRE!G19/DRE!G7,"")</f>
        <v>0.12293775793467436</v>
      </c>
      <c r="H10" s="14">
        <f>IFERROR(DRE!H19/DRE!H7,"")</f>
        <v>0.11713768682849177</v>
      </c>
      <c r="I10" s="14">
        <f>IFERROR(DRE!I19/DRE!I7,"")</f>
        <v>0.12275024212832379</v>
      </c>
      <c r="J10" s="14">
        <f>IFERROR(DRE!J19/DRE!J7,"")</f>
        <v>8.1595414633764601E-2</v>
      </c>
      <c r="K10" s="14">
        <f>IFERROR(DRE!K19/DRE!K7,"")</f>
        <v>0.23825880371595032</v>
      </c>
      <c r="L10" s="14">
        <f>IFERROR(DRE!L19/DRE!L7,"")</f>
        <v>0.18428958002946702</v>
      </c>
      <c r="M10" s="14">
        <f>IFERROR(DRE!M19/DRE!M7,"")</f>
        <v>0.19363631856731642</v>
      </c>
      <c r="N10" s="14">
        <f>IFERROR(DRE!N19/DRE!N7,"")</f>
        <v>7.8791535126712969E-2</v>
      </c>
      <c r="O10" s="14">
        <f>IFERROR(DRE!O19/DRE!O7,"")</f>
        <v>0.20303689725432897</v>
      </c>
      <c r="P10" s="14">
        <f>IFERROR(DRE!P19/DRE!P7,"")</f>
        <v>0.18079366475448799</v>
      </c>
      <c r="Q10" s="14">
        <f>IFERROR(DRE!Q19/DRE!Q7,"")</f>
        <v>0.17642120983058798</v>
      </c>
      <c r="R10" s="14">
        <f>IFERROR(DRE!R19/DRE!R7,"")</f>
        <v>7.0407064241670321E-3</v>
      </c>
      <c r="S10" s="14">
        <f>IFERROR(DRE!S19/DRE!S7,"")</f>
        <v>0.15991172214235538</v>
      </c>
      <c r="T10" s="14">
        <f>IFERROR(DRE!T19/DRE!T7,"")</f>
        <v>0.1816972406413298</v>
      </c>
      <c r="U10" s="14">
        <f>IFERROR(DRE!U19/DRE!U7,"")</f>
        <v>0.19638108154051415</v>
      </c>
      <c r="V10" s="14">
        <f>IFERROR(DRE!V19/DRE!V7,"")</f>
        <v>0.10617644977682686</v>
      </c>
      <c r="W10" s="14">
        <f>IFERROR(DRE!W19/DRE!W7,"")</f>
        <v>0.24889002010577946</v>
      </c>
      <c r="X10" s="14">
        <f>IFERROR(DRE!X19/DRE!X7,"")</f>
        <v>0.22462981114745725</v>
      </c>
      <c r="Y10" s="14">
        <f>IFERROR(DRE!Y19/DRE!Y7,"")</f>
        <v>0.24056798459963616</v>
      </c>
      <c r="Z10" s="14">
        <f>IFERROR(DRE!Z19/DRE!Z7,"")</f>
        <v>0.18236516168964029</v>
      </c>
      <c r="AA10" s="14">
        <f>IFERROR(DRE!AA19/DRE!AA7,"")</f>
        <v>0.27415399380107808</v>
      </c>
      <c r="AB10" s="14">
        <f>IFERROR(DRE!AB19/DRE!AB7,"")</f>
        <v>0.28209821930639906</v>
      </c>
      <c r="AC10" s="14">
        <f>IFERROR(DRE!AC19/DRE!AC7,"")</f>
        <v>0.22127263851433332</v>
      </c>
      <c r="AD10" s="14">
        <f>IFERROR(DRE!AD19/DRE!AD7,"")</f>
        <v>0.20069444571222969</v>
      </c>
      <c r="AE10" s="14">
        <f>IFERROR(DRE!AE19/DRE!AE7,"")</f>
        <v>0.43125679962467822</v>
      </c>
      <c r="AF10" s="14">
        <f>IFERROR(DRE!AF19/DRE!AF7,"")</f>
        <v>0.27081455338394189</v>
      </c>
    </row>
    <row r="12" spans="1:32" x14ac:dyDescent="0.3">
      <c r="A12" s="6" t="s">
        <v>273</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x14ac:dyDescent="0.3">
      <c r="A13" s="4" t="s">
        <v>274</v>
      </c>
      <c r="B13" s="8"/>
      <c r="C13" s="21" t="s">
        <v>229</v>
      </c>
      <c r="D13" s="21" t="s">
        <v>229</v>
      </c>
      <c r="E13" s="21" t="s">
        <v>229</v>
      </c>
      <c r="F13" s="11">
        <f>DRE!C7+DRE!D7+DRE!E7+DRE!F7</f>
        <v>20156.447</v>
      </c>
      <c r="G13" s="11">
        <f>DRE!D7+DRE!E7+DRE!F7+DRE!G7</f>
        <v>21403.146000000001</v>
      </c>
      <c r="H13" s="11">
        <f>DRE!E7+DRE!F7+DRE!G7+DRE!H7</f>
        <v>22628.315999999999</v>
      </c>
      <c r="I13" s="11">
        <f>DRE!F7+DRE!G7+DRE!H7+DRE!I7</f>
        <v>23819.047999999999</v>
      </c>
      <c r="J13" s="11">
        <f>DRE!G7+DRE!H7+DRE!I7+DRE!J7</f>
        <v>24996.055999999997</v>
      </c>
      <c r="K13" s="11">
        <f>DRE!H7+DRE!I7+DRE!J7+DRE!K7</f>
        <v>26391.646999999997</v>
      </c>
      <c r="L13" s="11">
        <f>DRE!I7+DRE!J7+DRE!K7+DRE!L7</f>
        <v>27585.137999999999</v>
      </c>
      <c r="M13" s="11">
        <f>DRE!J7+DRE!K7+DRE!L7+DRE!M7</f>
        <v>28632.968000000001</v>
      </c>
      <c r="N13" s="11">
        <f>DRE!K7+DRE!L7+DRE!M7+DRE!N7</f>
        <v>29697.844000000001</v>
      </c>
      <c r="O13" s="11">
        <f>DRE!L7+DRE!M7+DRE!N7+DRE!O7</f>
        <v>30402.328999999998</v>
      </c>
      <c r="P13" s="11">
        <f>DRE!M7+DRE!N7+DRE!O7+DRE!P7</f>
        <v>31030.692999999999</v>
      </c>
      <c r="Q13" s="11">
        <f>DRE!N7+DRE!O7+DRE!P7+DRE!Q7</f>
        <v>31472.814999999999</v>
      </c>
      <c r="R13" s="11">
        <f>DRE!O7+DRE!P7+DRE!Q7+DRE!R7</f>
        <v>31615.55</v>
      </c>
      <c r="S13" s="11">
        <f>DRE!P7+DRE!Q7+DRE!R7+DRE!S7</f>
        <v>31909.286</v>
      </c>
      <c r="T13" s="11">
        <f>DRE!Q7+DRE!R7+DRE!S7+DRE!T7</f>
        <v>32126.446</v>
      </c>
      <c r="U13" s="11">
        <f>DRE!R7+DRE!S7+DRE!T7+DRE!U7</f>
        <v>32742.525000000001</v>
      </c>
      <c r="V13" s="11">
        <f>DRE!S7+DRE!T7+DRE!U7+DRE!V7</f>
        <v>33723.297000000006</v>
      </c>
      <c r="W13" s="11">
        <f>DRE!T7+DRE!U7+DRE!V7+DRE!W7</f>
        <v>34932.234000000004</v>
      </c>
      <c r="X13" s="11">
        <f>DRE!U7+DRE!V7+DRE!W7+DRE!X7</f>
        <v>36304.243000000002</v>
      </c>
      <c r="Y13" s="11">
        <f>DRE!V7+DRE!W7+DRE!X7+DRE!Y7</f>
        <v>37587.277999999998</v>
      </c>
      <c r="Z13" s="11">
        <f>DRE!W7+DRE!X7+DRE!Y7+DRE!Z7</f>
        <v>39000.966</v>
      </c>
      <c r="AA13" s="11">
        <f>DRE!X7+DRE!Y7+DRE!Z7+DRE!AA7</f>
        <v>40173.326999999997</v>
      </c>
      <c r="AB13" s="11">
        <f>DRE!Y7+DRE!Z7+DRE!AA7+DRE!AB7</f>
        <v>41693.182999999997</v>
      </c>
      <c r="AC13" s="11">
        <f>DRE!Z7+DRE!AA7+DRE!AB7+DRE!AC7</f>
        <v>43378.786999999997</v>
      </c>
      <c r="AD13" s="11">
        <f>DRE!AA7+DRE!AB7+DRE!AC7+DRE!AD7</f>
        <v>45183.036</v>
      </c>
      <c r="AE13" s="11">
        <f>DRE!AB7+DRE!AC7+DRE!AD7+DRE!AE7</f>
        <v>46889.991999999998</v>
      </c>
      <c r="AF13" s="11">
        <f>DRE!AC7+DRE!AD7+DRE!AE7+DRE!AF7</f>
        <v>48370.764000000003</v>
      </c>
    </row>
    <row r="14" spans="1:32" x14ac:dyDescent="0.3">
      <c r="A14" s="4" t="s">
        <v>275</v>
      </c>
      <c r="B14" s="8"/>
      <c r="C14" s="21" t="s">
        <v>229</v>
      </c>
      <c r="D14" s="21" t="s">
        <v>229</v>
      </c>
      <c r="E14" s="21" t="s">
        <v>229</v>
      </c>
      <c r="F14" s="11">
        <f>DRE!C14+DRE!D14+DRE!E14+DRE!F14</f>
        <v>2604.2539999999999</v>
      </c>
      <c r="G14" s="11">
        <f>DRE!D14+DRE!E14+DRE!F14+DRE!G14</f>
        <v>3103.4259999999995</v>
      </c>
      <c r="H14" s="11">
        <f>DRE!E14+DRE!F14+DRE!G14+DRE!H14</f>
        <v>3754.9349999999999</v>
      </c>
      <c r="I14" s="11">
        <f>DRE!F14+DRE!G14+DRE!H14+DRE!I14</f>
        <v>4089.5589999999993</v>
      </c>
      <c r="J14" s="11">
        <f>DRE!G14+DRE!H14+DRE!I14+DRE!J14</f>
        <v>4585.2889999999998</v>
      </c>
      <c r="K14" s="11">
        <f>DRE!H14+DRE!I14+DRE!J14+DRE!K14</f>
        <v>5586.8890000000001</v>
      </c>
      <c r="L14" s="11">
        <f>DRE!I14+DRE!J14+DRE!K14+DRE!L14</f>
        <v>6076.5909999999994</v>
      </c>
      <c r="M14" s="11">
        <f>DRE!J14+DRE!K14+DRE!L14+DRE!M14</f>
        <v>6516.9810000000007</v>
      </c>
      <c r="N14" s="11">
        <f>DRE!K14+DRE!L14+DRE!M14+DRE!N14</f>
        <v>6194.5090000000009</v>
      </c>
      <c r="O14" s="11">
        <f>DRE!L14+DRE!M14+DRE!N14+DRE!O14</f>
        <v>6206.2790000000005</v>
      </c>
      <c r="P14" s="11">
        <f>DRE!M14+DRE!N14+DRE!O14+DRE!P14</f>
        <v>5936.9319999999998</v>
      </c>
      <c r="Q14" s="11">
        <f>DRE!N14+DRE!O14+DRE!P14+DRE!Q14</f>
        <v>5714.6970000000001</v>
      </c>
      <c r="R14" s="11">
        <f>DRE!O14+DRE!P14+DRE!Q14+DRE!R14</f>
        <v>5632.8310000000001</v>
      </c>
      <c r="S14" s="11">
        <f>DRE!P14+DRE!Q14+DRE!R14+DRE!S14</f>
        <v>5375.521999999999</v>
      </c>
      <c r="T14" s="11">
        <f>DRE!Q14+DRE!R14+DRE!S14+DRE!T14</f>
        <v>5624.4219999999996</v>
      </c>
      <c r="U14" s="11">
        <f>DRE!R14+DRE!S14+DRE!T14+DRE!U14</f>
        <v>6007.7979999999998</v>
      </c>
      <c r="V14" s="11">
        <f>DRE!S14+DRE!T14+DRE!U14+DRE!V14</f>
        <v>6954.0030000000006</v>
      </c>
      <c r="W14" s="11">
        <f>DRE!T14+DRE!U14+DRE!V14+DRE!W14</f>
        <v>7872.2200000000012</v>
      </c>
      <c r="X14" s="11">
        <f>DRE!U14+DRE!V14+DRE!W14+DRE!X14</f>
        <v>8647.8739999999998</v>
      </c>
      <c r="Y14" s="11">
        <f>DRE!V14+DRE!W14+DRE!X14+DRE!Y14</f>
        <v>9640.9570000000003</v>
      </c>
      <c r="Z14" s="11">
        <f>DRE!W14+DRE!X14+DRE!Y14+DRE!Z14</f>
        <v>10417.614</v>
      </c>
      <c r="AA14" s="11">
        <f>DRE!X14+DRE!Y14+DRE!Z14+DRE!AA14</f>
        <v>11132.079</v>
      </c>
      <c r="AB14" s="11">
        <f>DRE!Y14+DRE!Z14+DRE!AA14+DRE!AB14</f>
        <v>12303.936</v>
      </c>
      <c r="AC14" s="11">
        <f>DRE!Z14+DRE!AA14+DRE!AB14+DRE!AC14</f>
        <v>12642.706000000002</v>
      </c>
      <c r="AD14" s="11">
        <f>DRE!AA14+DRE!AB14+DRE!AC14+DRE!AD14</f>
        <v>13326.603000000001</v>
      </c>
      <c r="AE14" s="11">
        <f>DRE!AB14+DRE!AC14+DRE!AD14+DRE!AE14</f>
        <v>13936.601000000001</v>
      </c>
      <c r="AF14" s="11">
        <f>DRE!AC14+DRE!AD14+DRE!AE14+DRE!AF14</f>
        <v>14354.517000000002</v>
      </c>
    </row>
    <row r="15" spans="1:32" x14ac:dyDescent="0.3">
      <c r="A15" s="4" t="s">
        <v>276</v>
      </c>
      <c r="B15" s="8"/>
      <c r="C15" s="21" t="s">
        <v>229</v>
      </c>
      <c r="D15" s="21" t="s">
        <v>229</v>
      </c>
      <c r="E15" s="21" t="s">
        <v>229</v>
      </c>
      <c r="F15" s="11">
        <f>DRE!C30+DRE!D30+DRE!E30+DRE!F30</f>
        <v>2707.8329999999996</v>
      </c>
      <c r="G15" s="11">
        <f>DRE!D30+DRE!E30+DRE!F30+DRE!G30</f>
        <v>3211.9609999999993</v>
      </c>
      <c r="H15" s="11">
        <f>DRE!E30+DRE!F30+DRE!G30+DRE!H30</f>
        <v>3864.6349999999998</v>
      </c>
      <c r="I15" s="11">
        <f>DRE!F30+DRE!G30+DRE!H30+DRE!I30</f>
        <v>4201.1439999999993</v>
      </c>
      <c r="J15" s="11">
        <f>DRE!G30+DRE!H30+DRE!I30+DRE!J30</f>
        <v>4700.9989999999998</v>
      </c>
      <c r="K15" s="11">
        <f>DRE!H30+DRE!I30+DRE!J30+DRE!K30</f>
        <v>5709.8230000000003</v>
      </c>
      <c r="L15" s="11">
        <f>DRE!I30+DRE!J30+DRE!K30+DRE!L30</f>
        <v>6211.2980000000007</v>
      </c>
      <c r="M15" s="11">
        <f>DRE!J30+DRE!K30+DRE!L30+DRE!M30</f>
        <v>6693.3519999999999</v>
      </c>
      <c r="N15" s="11">
        <f>DRE!K30+DRE!L30+DRE!M30+DRE!N30</f>
        <v>6402.9210000000012</v>
      </c>
      <c r="O15" s="11">
        <f>DRE!L30+DRE!M30+DRE!N30+DRE!O30</f>
        <v>6453.5520000000006</v>
      </c>
      <c r="P15" s="11">
        <f>DRE!M30+DRE!N30+DRE!O30+DRE!P30</f>
        <v>6229.2759999999998</v>
      </c>
      <c r="Q15" s="11">
        <f>DRE!N30+DRE!O30+DRE!P30+DRE!Q30</f>
        <v>6021.9760000000006</v>
      </c>
      <c r="R15" s="11">
        <f>DRE!O30+DRE!P30+DRE!Q30+DRE!R30</f>
        <v>5969.5129999999999</v>
      </c>
      <c r="S15" s="11">
        <f>DRE!P30+DRE!Q30+DRE!R30+DRE!S30</f>
        <v>5727.9369999999999</v>
      </c>
      <c r="T15" s="11">
        <f>DRE!Q30+DRE!R30+DRE!S30+DRE!T30</f>
        <v>5982.7170000000006</v>
      </c>
      <c r="U15" s="11">
        <f>DRE!R30+DRE!S30+DRE!T30+DRE!U30</f>
        <v>6371.5650000000005</v>
      </c>
      <c r="V15" s="11">
        <f>DRE!S30+DRE!T30+DRE!U30+DRE!V30</f>
        <v>7310.9500000000007</v>
      </c>
      <c r="W15" s="11">
        <f>DRE!T30+DRE!U30+DRE!V30+DRE!W30</f>
        <v>8226.0660000000007</v>
      </c>
      <c r="X15" s="11">
        <f>DRE!U30+DRE!V30+DRE!W30+DRE!X30</f>
        <v>8993.5620000000017</v>
      </c>
      <c r="Y15" s="11">
        <f>DRE!V30+DRE!W30+DRE!X30+DRE!Y30</f>
        <v>9976.8990000000013</v>
      </c>
      <c r="Z15" s="11">
        <f>DRE!W30+DRE!X30+DRE!Y30+DRE!Z30</f>
        <v>10746.528</v>
      </c>
      <c r="AA15" s="11">
        <f>DRE!X30+DRE!Y30+DRE!Z30+DRE!AA30</f>
        <v>11453.826000000001</v>
      </c>
      <c r="AB15" s="11">
        <f>DRE!Y30+DRE!Z30+DRE!AA30+DRE!AB30</f>
        <v>12624.469000000001</v>
      </c>
      <c r="AC15" s="11">
        <f>DRE!Z30+DRE!AA30+DRE!AB30+DRE!AC30</f>
        <v>12969.651000000002</v>
      </c>
      <c r="AD15" s="11">
        <f>DRE!AA30+DRE!AB30+DRE!AC30+DRE!AD30</f>
        <v>13659.992</v>
      </c>
      <c r="AE15" s="11">
        <f>DRE!AB30+DRE!AC30+DRE!AD30+DRE!AE30</f>
        <v>14288.498</v>
      </c>
      <c r="AF15" s="11">
        <f>DRE!AC30+DRE!AD30+DRE!AE30+DRE!AF30</f>
        <v>14726.931</v>
      </c>
    </row>
    <row r="16" spans="1:32" x14ac:dyDescent="0.3">
      <c r="A16" s="4" t="s">
        <v>277</v>
      </c>
      <c r="B16" s="8"/>
      <c r="C16" s="21" t="s">
        <v>229</v>
      </c>
      <c r="D16" s="21" t="s">
        <v>229</v>
      </c>
      <c r="E16" s="21" t="s">
        <v>229</v>
      </c>
      <c r="F16" s="11">
        <f>DRE!C19+DRE!D19+DRE!E19+DRE!F19</f>
        <v>1866.9159999999999</v>
      </c>
      <c r="G16" s="11">
        <f>DRE!D19+DRE!E19+DRE!F19+DRE!G19</f>
        <v>2231.9309999999996</v>
      </c>
      <c r="H16" s="11">
        <f>DRE!E19+DRE!F19+DRE!G19+DRE!H19</f>
        <v>2681.4770000000003</v>
      </c>
      <c r="I16" s="11">
        <f>DRE!F19+DRE!G19+DRE!H19+DRE!I19</f>
        <v>2806.2089999999994</v>
      </c>
      <c r="J16" s="11">
        <f>DRE!G19+DRE!H19+DRE!I19+DRE!J19</f>
        <v>2761.3949999999995</v>
      </c>
      <c r="K16" s="11">
        <f>DRE!H19+DRE!I19+DRE!J19+DRE!K19</f>
        <v>3759.0429999999997</v>
      </c>
      <c r="L16" s="11">
        <f>DRE!I19+DRE!J19+DRE!K19+DRE!L19</f>
        <v>4391.8600000000006</v>
      </c>
      <c r="M16" s="11">
        <f>DRE!J19+DRE!K19+DRE!L19+DRE!M19</f>
        <v>5050.9549999999999</v>
      </c>
      <c r="N16" s="11">
        <f>DRE!K19+DRE!L19+DRE!M19+DRE!N19</f>
        <v>5116.228000000001</v>
      </c>
      <c r="O16" s="11">
        <f>DRE!L19+DRE!M19+DRE!N19+DRE!O19</f>
        <v>5006.9600000000009</v>
      </c>
      <c r="P16" s="11">
        <f>DRE!M19+DRE!N19+DRE!O19+DRE!P19</f>
        <v>5094.8979999999992</v>
      </c>
      <c r="Q16" s="11">
        <f>DRE!N19+DRE!O19+DRE!P19+DRE!Q19</f>
        <v>5044.0690000000004</v>
      </c>
      <c r="R16" s="11">
        <f>DRE!O19+DRE!P19+DRE!Q19+DRE!R19</f>
        <v>4491.9239999999991</v>
      </c>
      <c r="S16" s="11">
        <f>DRE!P19+DRE!Q19+DRE!R19+DRE!S19</f>
        <v>4199.5969999999998</v>
      </c>
      <c r="T16" s="11">
        <f>DRE!Q19+DRE!R19+DRE!S19+DRE!T19</f>
        <v>4246.2559999999994</v>
      </c>
      <c r="U16" s="11">
        <f>DRE!R19+DRE!S19+DRE!T19+DRE!U19</f>
        <v>4525.4360000000006</v>
      </c>
      <c r="V16" s="11">
        <f>DRE!S19+DRE!T19+DRE!U19+DRE!V19</f>
        <v>5407.9900000000007</v>
      </c>
      <c r="W16" s="11">
        <f>DRE!T19+DRE!U19+DRE!V19+DRE!W19</f>
        <v>6435.0790000000015</v>
      </c>
      <c r="X16" s="11">
        <f>DRE!U19+DRE!V19+DRE!W19+DRE!X19</f>
        <v>7094.7750000000005</v>
      </c>
      <c r="Y16" s="11">
        <f>DRE!V19+DRE!W19+DRE!X19+DRE!Y19</f>
        <v>7780.8620000000001</v>
      </c>
      <c r="Z16" s="11">
        <f>DRE!W19+DRE!X19+DRE!Y19+DRE!Z19</f>
        <v>8711.6309999999994</v>
      </c>
      <c r="AA16" s="11">
        <f>DRE!X19+DRE!Y19+DRE!Z19+DRE!AA19</f>
        <v>9269.773000000001</v>
      </c>
      <c r="AB16" s="11">
        <f>DRE!Y19+DRE!Z19+DRE!AA19+DRE!AB19</f>
        <v>10247.879999999999</v>
      </c>
      <c r="AC16" s="11">
        <f>DRE!Z19+DRE!AA19+DRE!AB19+DRE!AC19</f>
        <v>10431.287</v>
      </c>
      <c r="AD16" s="11">
        <f>DRE!AA19+DRE!AB19+DRE!AC19+DRE!AD19</f>
        <v>10981.201000000001</v>
      </c>
      <c r="AE16" s="11">
        <f>DRE!AB19+DRE!AC19+DRE!AD19+DRE!AE19</f>
        <v>13373.641</v>
      </c>
      <c r="AF16" s="11">
        <f>DRE!AC19+DRE!AD19+DRE!AE19+DRE!AF19</f>
        <v>13649.642000000002</v>
      </c>
    </row>
    <row r="17" spans="1:32" x14ac:dyDescent="0.3">
      <c r="A17" s="4" t="s">
        <v>278</v>
      </c>
      <c r="B17" s="8"/>
      <c r="C17" s="21" t="s">
        <v>229</v>
      </c>
      <c r="D17" s="21" t="s">
        <v>229</v>
      </c>
      <c r="E17" s="21" t="s">
        <v>229</v>
      </c>
      <c r="F17" s="11">
        <f>DRE!C15+DRE!D15+DRE!E15+DRE!F15</f>
        <v>626.02299999999991</v>
      </c>
      <c r="G17" s="11">
        <f>DRE!D15+DRE!E15+DRE!F15+DRE!G15</f>
        <v>674.577</v>
      </c>
      <c r="H17" s="11">
        <f>DRE!E15+DRE!F15+DRE!G15+DRE!H15</f>
        <v>711.69499999999994</v>
      </c>
      <c r="I17" s="11">
        <f>DRE!F15+DRE!G15+DRE!H15+DRE!I15</f>
        <v>748.11400000000003</v>
      </c>
      <c r="J17" s="11">
        <f>DRE!G15+DRE!H15+DRE!I15+DRE!J15</f>
        <v>767.49900000000014</v>
      </c>
      <c r="K17" s="11">
        <f>DRE!H15+DRE!I15+DRE!J15+DRE!K15</f>
        <v>777.85599999999999</v>
      </c>
      <c r="L17" s="11">
        <f>DRE!I15+DRE!J15+DRE!K15+DRE!L15</f>
        <v>780.02699999999993</v>
      </c>
      <c r="M17" s="11">
        <f>DRE!J15+DRE!K15+DRE!L15+DRE!M15</f>
        <v>773.37699999999995</v>
      </c>
      <c r="N17" s="11">
        <f>DRE!K15+DRE!L15+DRE!M15+DRE!N15</f>
        <v>765.62</v>
      </c>
      <c r="O17" s="11">
        <f>DRE!L15+DRE!M15+DRE!N15+DRE!O15</f>
        <v>758.75900000000001</v>
      </c>
      <c r="P17" s="11">
        <f>DRE!M15+DRE!N15+DRE!O15+DRE!P15</f>
        <v>742.89200000000005</v>
      </c>
      <c r="Q17" s="11">
        <f>DRE!N15+DRE!O15+DRE!P15+DRE!Q15</f>
        <v>725.03800000000001</v>
      </c>
      <c r="R17" s="11">
        <f>DRE!O15+DRE!P15+DRE!Q15+DRE!R15</f>
        <v>706.21199999999999</v>
      </c>
      <c r="S17" s="11">
        <f>DRE!P15+DRE!Q15+DRE!R15+DRE!S15</f>
        <v>692.87200000000007</v>
      </c>
      <c r="T17" s="11">
        <f>DRE!Q15+DRE!R15+DRE!S15+DRE!T15</f>
        <v>692.22900000000004</v>
      </c>
      <c r="U17" s="11">
        <f>DRE!R15+DRE!S15+DRE!T15+DRE!U15</f>
        <v>695.21699999999998</v>
      </c>
      <c r="V17" s="11">
        <f>DRE!S15+DRE!T15+DRE!U15+DRE!V15</f>
        <v>699.82600000000002</v>
      </c>
      <c r="W17" s="11">
        <f>DRE!T15+DRE!U15+DRE!V15+DRE!W15</f>
        <v>698.90099999999995</v>
      </c>
      <c r="X17" s="11">
        <f>DRE!U15+DRE!V15+DRE!W15+DRE!X15</f>
        <v>692.07499999999993</v>
      </c>
      <c r="Y17" s="11">
        <f>DRE!V15+DRE!W15+DRE!X15+DRE!Y15</f>
        <v>701.34199999999998</v>
      </c>
      <c r="Z17" s="11">
        <f>DRE!W15+DRE!X15+DRE!Y15+DRE!Z15</f>
        <v>718.73299999999995</v>
      </c>
      <c r="AA17" s="11">
        <f>DRE!X15+DRE!Y15+DRE!Z15+DRE!AA15</f>
        <v>729.59100000000012</v>
      </c>
      <c r="AB17" s="11">
        <f>DRE!Y15+DRE!Z15+DRE!AA15+DRE!AB15</f>
        <v>744.25400000000002</v>
      </c>
      <c r="AC17" s="11">
        <f>DRE!Z15+DRE!AA15+DRE!AB15+DRE!AC15</f>
        <v>734.71799999999996</v>
      </c>
      <c r="AD17" s="11">
        <f>DRE!AA15+DRE!AB15+DRE!AC15+DRE!AD15</f>
        <v>776.51</v>
      </c>
      <c r="AE17" s="11">
        <f>DRE!AB15+DRE!AC15+DRE!AD15+DRE!AE15</f>
        <v>854.41499999999996</v>
      </c>
      <c r="AF17" s="11">
        <f>DRE!AC15+DRE!AD15+DRE!AE15+DRE!AF15</f>
        <v>847.45100000000002</v>
      </c>
    </row>
    <row r="18" spans="1:32" x14ac:dyDescent="0.3">
      <c r="A18" s="4" t="s">
        <v>279</v>
      </c>
      <c r="B18" s="8"/>
      <c r="C18" s="21" t="s">
        <v>229</v>
      </c>
      <c r="D18" s="21" t="s">
        <v>229</v>
      </c>
      <c r="E18" s="21" t="s">
        <v>229</v>
      </c>
      <c r="F18" s="11">
        <f>DRE!C8+DRE!D8+DRE!E8+DRE!F8</f>
        <v>12440.213</v>
      </c>
      <c r="G18" s="11">
        <f>DRE!D8+DRE!E8+DRE!F8+DRE!G8</f>
        <v>13169.3</v>
      </c>
      <c r="H18" s="11">
        <f>DRE!E8+DRE!F8+DRE!G8+DRE!H8</f>
        <v>13807.35</v>
      </c>
      <c r="I18" s="11">
        <f>DRE!F8+DRE!G8+DRE!H8+DRE!I8</f>
        <v>14577.182000000001</v>
      </c>
      <c r="J18" s="11">
        <f>DRE!G8+DRE!H8+DRE!I8+DRE!J8</f>
        <v>15276.319</v>
      </c>
      <c r="K18" s="11">
        <f>DRE!H8+DRE!I8+DRE!J8+DRE!K8</f>
        <v>15545.129000000001</v>
      </c>
      <c r="L18" s="11">
        <f>DRE!I8+DRE!J8+DRE!K8+DRE!L8</f>
        <v>15919.43</v>
      </c>
      <c r="M18" s="11">
        <f>DRE!J8+DRE!K8+DRE!L8+DRE!M8</f>
        <v>16258.268</v>
      </c>
      <c r="N18" s="11">
        <f>DRE!K8+DRE!L8+DRE!M8+DRE!N8</f>
        <v>17332.683000000001</v>
      </c>
      <c r="O18" s="11">
        <f>DRE!L8+DRE!M8+DRE!N8+DRE!O8</f>
        <v>17748.877</v>
      </c>
      <c r="P18" s="11">
        <f>DRE!M8+DRE!N8+DRE!O8+DRE!P8</f>
        <v>18421.624</v>
      </c>
      <c r="Q18" s="11">
        <f>DRE!N8+DRE!O8+DRE!P8+DRE!Q8</f>
        <v>19003.7</v>
      </c>
      <c r="R18" s="11">
        <f>DRE!O8+DRE!P8+DRE!Q8+DRE!R8</f>
        <v>19168.285</v>
      </c>
      <c r="S18" s="11">
        <f>DRE!P8+DRE!Q8+DRE!R8+DRE!S8</f>
        <v>19687.205000000002</v>
      </c>
      <c r="T18" s="11">
        <f>DRE!Q8+DRE!R8+DRE!S8+DRE!T8</f>
        <v>19669.920000000002</v>
      </c>
      <c r="U18" s="11">
        <f>DRE!R8+DRE!S8+DRE!T8+DRE!U8</f>
        <v>19812.043000000001</v>
      </c>
      <c r="V18" s="11">
        <f>DRE!S8+DRE!T8+DRE!U8+DRE!V8</f>
        <v>19715.368000000002</v>
      </c>
      <c r="W18" s="11">
        <f>DRE!T8+DRE!U8+DRE!V8+DRE!W8</f>
        <v>19888.815999999999</v>
      </c>
      <c r="X18" s="11">
        <f>DRE!U8+DRE!V8+DRE!W8+DRE!X8</f>
        <v>20389.489000000001</v>
      </c>
      <c r="Y18" s="11">
        <f>DRE!V8+DRE!W8+DRE!X8+DRE!Y8</f>
        <v>20578.584999999999</v>
      </c>
      <c r="Z18" s="11">
        <f>DRE!W8+DRE!X8+DRE!Y8+DRE!Z8</f>
        <v>21038.464</v>
      </c>
      <c r="AA18" s="11">
        <f>DRE!X8+DRE!Y8+DRE!Z8+DRE!AA8</f>
        <v>21324.538</v>
      </c>
      <c r="AB18" s="11">
        <f>DRE!Y8+DRE!Z8+DRE!AA8+DRE!AB8</f>
        <v>21475.705999999998</v>
      </c>
      <c r="AC18" s="11">
        <f>DRE!Z8+DRE!AA8+DRE!AB8+DRE!AC8</f>
        <v>22520.072</v>
      </c>
      <c r="AD18" s="11">
        <f>DRE!AA8+DRE!AB8+DRE!AC8+DRE!AD8</f>
        <v>23275.328999999998</v>
      </c>
      <c r="AE18" s="11">
        <f>DRE!AB8+DRE!AC8+DRE!AD8+DRE!AE8</f>
        <v>23900.420000000002</v>
      </c>
      <c r="AF18" s="11">
        <f>DRE!AC8+DRE!AD8+DRE!AE8+DRE!AF8</f>
        <v>24612.074000000001</v>
      </c>
    </row>
    <row r="20" spans="1:32" x14ac:dyDescent="0.3">
      <c r="A20" s="6" t="s">
        <v>280</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x14ac:dyDescent="0.3">
      <c r="A21" s="4" t="s">
        <v>281</v>
      </c>
      <c r="B21" s="8"/>
      <c r="C21" s="16" t="s">
        <v>229</v>
      </c>
      <c r="D21" s="16" t="s">
        <v>229</v>
      </c>
      <c r="E21" s="16" t="s">
        <v>229</v>
      </c>
      <c r="F21" s="14">
        <f t="shared" ref="F21:AF21" si="0">F16/F13</f>
        <v>9.262128389988572E-2</v>
      </c>
      <c r="G21" s="14">
        <f t="shared" si="0"/>
        <v>0.10428051091180705</v>
      </c>
      <c r="H21" s="14">
        <f t="shared" si="0"/>
        <v>0.11850095252337825</v>
      </c>
      <c r="I21" s="14">
        <f t="shared" si="0"/>
        <v>0.11781365065471969</v>
      </c>
      <c r="J21" s="14">
        <f t="shared" si="0"/>
        <v>0.11047322825648974</v>
      </c>
      <c r="K21" s="14">
        <f t="shared" si="0"/>
        <v>0.14243305845974674</v>
      </c>
      <c r="L21" s="14">
        <f t="shared" si="0"/>
        <v>0.15921109403186604</v>
      </c>
      <c r="M21" s="14">
        <f t="shared" si="0"/>
        <v>0.17640347308738652</v>
      </c>
      <c r="N21" s="14">
        <f t="shared" si="0"/>
        <v>0.1722760749904943</v>
      </c>
      <c r="O21" s="14">
        <f t="shared" si="0"/>
        <v>0.16469001437356992</v>
      </c>
      <c r="P21" s="14">
        <f t="shared" si="0"/>
        <v>0.16418898540229182</v>
      </c>
      <c r="Q21" s="14">
        <f t="shared" si="0"/>
        <v>0.16026748798923771</v>
      </c>
      <c r="R21" s="14">
        <f t="shared" si="0"/>
        <v>0.14207957792921519</v>
      </c>
      <c r="S21" s="14">
        <f t="shared" si="0"/>
        <v>0.13161049733297073</v>
      </c>
      <c r="T21" s="14">
        <f t="shared" si="0"/>
        <v>0.13217322575923895</v>
      </c>
      <c r="U21" s="14">
        <f t="shared" si="0"/>
        <v>0.1382127981882888</v>
      </c>
      <c r="V21" s="14">
        <f t="shared" si="0"/>
        <v>0.16036362043723068</v>
      </c>
      <c r="W21" s="14">
        <f t="shared" si="0"/>
        <v>0.1842160738989668</v>
      </c>
      <c r="X21" s="14">
        <f t="shared" si="0"/>
        <v>0.19542550439627676</v>
      </c>
      <c r="Y21" s="14">
        <f t="shared" si="0"/>
        <v>0.20700786047875031</v>
      </c>
      <c r="Z21" s="14">
        <f t="shared" si="0"/>
        <v>0.22336962115246067</v>
      </c>
      <c r="AA21" s="14">
        <f t="shared" si="0"/>
        <v>0.23074446883625052</v>
      </c>
      <c r="AB21" s="14">
        <f t="shared" si="0"/>
        <v>0.24579269949238464</v>
      </c>
      <c r="AC21" s="14">
        <f t="shared" si="0"/>
        <v>0.24046977154985918</v>
      </c>
      <c r="AD21" s="14">
        <f t="shared" si="0"/>
        <v>0.24303813935832025</v>
      </c>
      <c r="AE21" s="14">
        <f t="shared" si="0"/>
        <v>0.28521312181072667</v>
      </c>
      <c r="AF21" s="14">
        <f t="shared" si="0"/>
        <v>0.28218785214969938</v>
      </c>
    </row>
    <row r="22" spans="1:32" x14ac:dyDescent="0.3">
      <c r="A22" s="4" t="s">
        <v>282</v>
      </c>
      <c r="B22" s="8"/>
      <c r="C22" s="19" t="s">
        <v>229</v>
      </c>
      <c r="D22" s="19" t="s">
        <v>229</v>
      </c>
      <c r="E22" s="19" t="s">
        <v>229</v>
      </c>
      <c r="F22" s="22">
        <f>F13/BP!F15</f>
        <v>0.59326047383495595</v>
      </c>
      <c r="G22" s="22">
        <f>G13/BP!G15</f>
        <v>0.61047350093026476</v>
      </c>
      <c r="H22" s="22">
        <f>H13/BP!H15</f>
        <v>0.60869253415999724</v>
      </c>
      <c r="I22" s="22">
        <f>I13/BP!I15</f>
        <v>0.61671361204776187</v>
      </c>
      <c r="J22" s="22">
        <f>J13/BP!J15</f>
        <v>0.63634998855280311</v>
      </c>
      <c r="K22" s="22">
        <f>K13/BP!K15</f>
        <v>0.65776830723634061</v>
      </c>
      <c r="L22" s="22">
        <f>L13/BP!L15</f>
        <v>0.67328497893227768</v>
      </c>
      <c r="M22" s="22">
        <f>M13/BP!M15</f>
        <v>0.66993598036605495</v>
      </c>
      <c r="N22" s="22">
        <f>N13/BP!N15</f>
        <v>0.66609999945496956</v>
      </c>
      <c r="O22" s="22">
        <f>O13/BP!O15</f>
        <v>0.67067555061332984</v>
      </c>
      <c r="P22" s="22">
        <f>P13/BP!P15</f>
        <v>0.66947285960898095</v>
      </c>
      <c r="Q22" s="22">
        <f>Q13/BP!Q15</f>
        <v>0.66171925609728588</v>
      </c>
      <c r="R22" s="22">
        <f>R13/BP!R15</f>
        <v>0.65059575960934724</v>
      </c>
      <c r="S22" s="22">
        <f>S13/BP!S15</f>
        <v>0.6447578007387097</v>
      </c>
      <c r="T22" s="22">
        <f>T13/BP!T15</f>
        <v>0.63219290734901357</v>
      </c>
      <c r="U22" s="22">
        <f>U13/BP!U15</f>
        <v>0.66144128617904818</v>
      </c>
      <c r="V22" s="22">
        <f>V13/BP!V15</f>
        <v>0.69201556546262277</v>
      </c>
      <c r="W22" s="22">
        <f>W13/BP!W15</f>
        <v>0.71541807163189131</v>
      </c>
      <c r="X22" s="22">
        <f>X13/BP!X15</f>
        <v>0.73941059162329426</v>
      </c>
      <c r="Y22" s="22">
        <f>Y13/BP!Y15</f>
        <v>0.71893558306780458</v>
      </c>
      <c r="Z22" s="22">
        <f>Z13/BP!Z15</f>
        <v>0.72721786351890816</v>
      </c>
      <c r="AA22" s="22">
        <f>AA13/BP!AA15</f>
        <v>0.77126404488557776</v>
      </c>
      <c r="AB22" s="22">
        <f>AB13/BP!AB15</f>
        <v>0.78518732246591993</v>
      </c>
      <c r="AC22" s="22">
        <f>AC13/BP!AC15</f>
        <v>0.78964079895752848</v>
      </c>
      <c r="AD22" s="22">
        <f>AD13/BP!AD15</f>
        <v>0.81268848478909639</v>
      </c>
      <c r="AE22" s="22">
        <f>AE13/BP!AE15</f>
        <v>0.76848790628621899</v>
      </c>
      <c r="AF22" s="22">
        <f>AF13/BP!AF15</f>
        <v>0.82755173737696874</v>
      </c>
    </row>
    <row r="23" spans="1:32" x14ac:dyDescent="0.3">
      <c r="A23" s="3" t="s">
        <v>283</v>
      </c>
      <c r="B23" s="8"/>
      <c r="C23" s="16" t="s">
        <v>229</v>
      </c>
      <c r="D23" s="16" t="s">
        <v>229</v>
      </c>
      <c r="E23" s="16" t="s">
        <v>229</v>
      </c>
      <c r="F23" s="15">
        <f t="shared" ref="F23:AF23" si="1">F21*F22</f>
        <v>5.4948546773648181E-2</v>
      </c>
      <c r="G23" s="15">
        <f t="shared" si="1"/>
        <v>6.366048857512753E-2</v>
      </c>
      <c r="H23" s="15">
        <f t="shared" si="1"/>
        <v>7.2130645091828621E-2</v>
      </c>
      <c r="I23" s="15">
        <f t="shared" si="1"/>
        <v>7.2657282043805338E-2</v>
      </c>
      <c r="J23" s="15">
        <f t="shared" si="1"/>
        <v>7.0299637536408457E-2</v>
      </c>
      <c r="K23" s="15">
        <f t="shared" si="1"/>
        <v>9.3687951757562352E-2</v>
      </c>
      <c r="L23" s="15">
        <f t="shared" si="1"/>
        <v>0.1071944380910298</v>
      </c>
      <c r="M23" s="15">
        <f t="shared" si="1"/>
        <v>0.11817903368277528</v>
      </c>
      <c r="N23" s="15">
        <f t="shared" si="1"/>
        <v>0.11475309345727255</v>
      </c>
      <c r="O23" s="15">
        <f t="shared" si="1"/>
        <v>0.11045356607051121</v>
      </c>
      <c r="P23" s="15">
        <f t="shared" si="1"/>
        <v>0.10992006957356953</v>
      </c>
      <c r="Q23" s="15">
        <f t="shared" si="1"/>
        <v>0.10605208292881907</v>
      </c>
      <c r="R23" s="15">
        <f t="shared" si="1"/>
        <v>9.2436370927833203E-2</v>
      </c>
      <c r="S23" s="15">
        <f t="shared" si="1"/>
        <v>8.4856894814534026E-2</v>
      </c>
      <c r="T23" s="15">
        <f t="shared" si="1"/>
        <v>8.355897586643081E-2</v>
      </c>
      <c r="U23" s="15">
        <f t="shared" si="1"/>
        <v>9.1419651000066965E-2</v>
      </c>
      <c r="V23" s="15">
        <f t="shared" si="1"/>
        <v>0.1109741214765036</v>
      </c>
      <c r="W23" s="15">
        <f t="shared" si="1"/>
        <v>0.13179150835239681</v>
      </c>
      <c r="X23" s="15">
        <f t="shared" si="1"/>
        <v>0.14449968782393169</v>
      </c>
      <c r="Y23" s="15">
        <f t="shared" si="1"/>
        <v>0.14882531687290909</v>
      </c>
      <c r="Z23" s="15">
        <f t="shared" si="1"/>
        <v>0.16243837866952038</v>
      </c>
      <c r="AA23" s="15">
        <f t="shared" si="1"/>
        <v>0.17796491236962073</v>
      </c>
      <c r="AB23" s="15">
        <f t="shared" si="1"/>
        <v>0.19299331159609598</v>
      </c>
      <c r="AC23" s="15">
        <f t="shared" si="1"/>
        <v>0.18988474253176515</v>
      </c>
      <c r="AD23" s="15">
        <f t="shared" si="1"/>
        <v>0.19751429722107453</v>
      </c>
      <c r="AE23" s="15">
        <f t="shared" si="1"/>
        <v>0.21918283482568168</v>
      </c>
      <c r="AF23" s="15">
        <f t="shared" si="1"/>
        <v>0.2335250473131589</v>
      </c>
    </row>
    <row r="24" spans="1:32" x14ac:dyDescent="0.3">
      <c r="A24" s="4" t="s">
        <v>284</v>
      </c>
      <c r="B24" s="8"/>
      <c r="C24" s="22">
        <f>BP!C15/BP!C31</f>
        <v>4.7726381180061646</v>
      </c>
      <c r="D24" s="22">
        <f>BP!D15/BP!D31</f>
        <v>4.9416266975544207</v>
      </c>
      <c r="E24" s="22">
        <f>BP!E15/BP!E31</f>
        <v>4.5094641773196988</v>
      </c>
      <c r="F24" s="22">
        <f>BP!F15/BP!F31</f>
        <v>4.4810087683491648</v>
      </c>
      <c r="G24" s="22">
        <f>BP!G15/BP!G31</f>
        <v>4.1691859031209999</v>
      </c>
      <c r="H24" s="22">
        <f>BP!H15/BP!H31</f>
        <v>3.9824600608071794</v>
      </c>
      <c r="I24" s="22">
        <f>BP!I15/BP!I31</f>
        <v>3.7376691892820921</v>
      </c>
      <c r="J24" s="22">
        <f>BP!J15/BP!J31</f>
        <v>3.5498876662413106</v>
      </c>
      <c r="K24" s="22">
        <f>BP!K15/BP!K31</f>
        <v>3.114154367250126</v>
      </c>
      <c r="L24" s="22">
        <f>BP!L15/BP!L31</f>
        <v>2.9552329937288078</v>
      </c>
      <c r="M24" s="22">
        <f>BP!M15/BP!M31</f>
        <v>2.7907884996405725</v>
      </c>
      <c r="N24" s="22">
        <f>BP!N15/BP!N31</f>
        <v>2.8130459565021635</v>
      </c>
      <c r="O24" s="22">
        <f>BP!O15/BP!O31</f>
        <v>2.583835113453635</v>
      </c>
      <c r="P24" s="22">
        <f>BP!P15/BP!P31</f>
        <v>2.4298069917688085</v>
      </c>
      <c r="Q24" s="22">
        <f>BP!Q15/BP!Q31</f>
        <v>2.3169261649167354</v>
      </c>
      <c r="R24" s="22">
        <f>BP!R15/BP!R31</f>
        <v>2.3388280372506642</v>
      </c>
      <c r="S24" s="22">
        <f>BP!S15/BP!S31</f>
        <v>2.2672668414742105</v>
      </c>
      <c r="T24" s="22">
        <f>BP!T15/BP!T31</f>
        <v>2.2256917692830065</v>
      </c>
      <c r="U24" s="22">
        <f>BP!U15/BP!U31</f>
        <v>2.2391270668715371</v>
      </c>
      <c r="V24" s="22">
        <f>BP!V15/BP!V31</f>
        <v>2.3669735349370296</v>
      </c>
      <c r="W24" s="22">
        <f>BP!W15/BP!W31</f>
        <v>2.2853631641049716</v>
      </c>
      <c r="X24" s="22">
        <f>BP!X15/BP!X31</f>
        <v>2.2203941871756641</v>
      </c>
      <c r="Y24" s="22">
        <f>BP!Y15/BP!Y31</f>
        <v>2.3010629585238784</v>
      </c>
      <c r="Z24" s="22">
        <f>BP!Z15/BP!Z31</f>
        <v>2.1674471590939173</v>
      </c>
      <c r="AA24" s="22">
        <f>BP!AA15/BP!AA31</f>
        <v>2.1677828263631462</v>
      </c>
      <c r="AB24" s="22">
        <f>BP!AB15/BP!AB31</f>
        <v>2.1280810731079023</v>
      </c>
      <c r="AC24" s="22">
        <f>BP!AC15/BP!AC31</f>
        <v>2.1166202095358195</v>
      </c>
      <c r="AD24" s="22">
        <f>BP!AD15/BP!AD31</f>
        <v>2.0888962471775834</v>
      </c>
      <c r="AE24" s="22">
        <f>BP!AE15/BP!AE31</f>
        <v>1.9602625411310828</v>
      </c>
      <c r="AF24" s="22">
        <f>BP!AF15/BP!AF31</f>
        <v>1.9385228242509001</v>
      </c>
    </row>
    <row r="25" spans="1:32" x14ac:dyDescent="0.3">
      <c r="A25" s="3" t="s">
        <v>285</v>
      </c>
      <c r="B25" s="8"/>
      <c r="C25" s="16" t="s">
        <v>229</v>
      </c>
      <c r="D25" s="16" t="s">
        <v>229</v>
      </c>
      <c r="E25" s="16" t="s">
        <v>229</v>
      </c>
      <c r="F25" s="15">
        <f t="shared" ref="F25:AF25" si="2">F23*F24</f>
        <v>0.2462249199007617</v>
      </c>
      <c r="G25" s="15">
        <f t="shared" si="2"/>
        <v>0.26541241155321715</v>
      </c>
      <c r="H25" s="15">
        <f t="shared" si="2"/>
        <v>0.28725741323846488</v>
      </c>
      <c r="I25" s="15">
        <f t="shared" si="2"/>
        <v>0.27156888447211019</v>
      </c>
      <c r="J25" s="15">
        <f t="shared" si="2"/>
        <v>0.24955581623173106</v>
      </c>
      <c r="K25" s="15">
        <f t="shared" si="2"/>
        <v>0.2917587441245319</v>
      </c>
      <c r="L25" s="15">
        <f t="shared" si="2"/>
        <v>0.31678454019083135</v>
      </c>
      <c r="M25" s="15">
        <f t="shared" si="2"/>
        <v>0.32981268810052511</v>
      </c>
      <c r="N25" s="15">
        <f t="shared" si="2"/>
        <v>0.32280572554609543</v>
      </c>
      <c r="O25" s="15">
        <f t="shared" si="2"/>
        <v>0.2853938024191579</v>
      </c>
      <c r="P25" s="15">
        <f t="shared" si="2"/>
        <v>0.26708455358557315</v>
      </c>
      <c r="Q25" s="15">
        <f t="shared" si="2"/>
        <v>0.24571484578170036</v>
      </c>
      <c r="R25" s="15">
        <f t="shared" si="2"/>
        <v>0.21619277598771849</v>
      </c>
      <c r="S25" s="15">
        <f t="shared" si="2"/>
        <v>0.19239322388345786</v>
      </c>
      <c r="T25" s="15">
        <f t="shared" si="2"/>
        <v>0.18597652483563243</v>
      </c>
      <c r="U25" s="15">
        <f t="shared" si="2"/>
        <v>0.20470021499819951</v>
      </c>
      <c r="V25" s="15">
        <f t="shared" si="2"/>
        <v>0.26267280859777103</v>
      </c>
      <c r="W25" s="15">
        <f t="shared" si="2"/>
        <v>0.30119145853040036</v>
      </c>
      <c r="X25" s="15">
        <f t="shared" si="2"/>
        <v>0.32084626689295598</v>
      </c>
      <c r="Y25" s="15">
        <f t="shared" si="2"/>
        <v>0.3424564239468299</v>
      </c>
      <c r="Z25" s="15">
        <f t="shared" si="2"/>
        <v>0.35207660237507393</v>
      </c>
      <c r="AA25" s="15">
        <f t="shared" si="2"/>
        <v>0.38578928073008606</v>
      </c>
      <c r="AB25" s="15">
        <f t="shared" si="2"/>
        <v>0.41070541364406771</v>
      </c>
      <c r="AC25" s="15">
        <f t="shared" si="2"/>
        <v>0.40191388352523988</v>
      </c>
      <c r="AD25" s="15">
        <f t="shared" si="2"/>
        <v>0.41258687422902035</v>
      </c>
      <c r="AE25" s="15">
        <f t="shared" si="2"/>
        <v>0.42965590076770516</v>
      </c>
      <c r="AF25" s="15">
        <f t="shared" si="2"/>
        <v>0.45269363425082987</v>
      </c>
    </row>
    <row r="26" spans="1:32" x14ac:dyDescent="0.3">
      <c r="A26" s="4" t="s">
        <v>286</v>
      </c>
      <c r="B26" s="8"/>
      <c r="C26" s="23" t="s">
        <v>229</v>
      </c>
      <c r="D26" s="23" t="s">
        <v>229</v>
      </c>
      <c r="E26" s="23" t="s">
        <v>229</v>
      </c>
      <c r="F26" s="24">
        <f>F16/BP!F31</f>
        <v>0.24622491990076173</v>
      </c>
      <c r="G26" s="24">
        <f>G16/BP!G31</f>
        <v>0.26541241155321715</v>
      </c>
      <c r="H26" s="24">
        <f>H16/BP!H31</f>
        <v>0.28725741323846493</v>
      </c>
      <c r="I26" s="24">
        <f>I16/BP!I31</f>
        <v>0.27156888447211019</v>
      </c>
      <c r="J26" s="24">
        <f>J16/BP!J31</f>
        <v>0.24955581623173104</v>
      </c>
      <c r="K26" s="24">
        <f>K16/BP!K31</f>
        <v>0.29175874412453195</v>
      </c>
      <c r="L26" s="24">
        <f>L16/BP!L31</f>
        <v>0.3167845401908313</v>
      </c>
      <c r="M26" s="24">
        <f>M16/BP!M31</f>
        <v>0.32981268810052511</v>
      </c>
      <c r="N26" s="24">
        <f>N16/BP!N31</f>
        <v>0.32280572554609538</v>
      </c>
      <c r="O26" s="24">
        <f>O16/BP!O31</f>
        <v>0.2853938024191579</v>
      </c>
      <c r="P26" s="24">
        <f>P16/BP!P31</f>
        <v>0.26708455358557315</v>
      </c>
      <c r="Q26" s="24">
        <f>Q16/BP!Q31</f>
        <v>0.24571484578170039</v>
      </c>
      <c r="R26" s="24">
        <f>R16/BP!R31</f>
        <v>0.21619277598771852</v>
      </c>
      <c r="S26" s="24">
        <f>S16/BP!S31</f>
        <v>0.19239322388345789</v>
      </c>
      <c r="T26" s="24">
        <f>T16/BP!T31</f>
        <v>0.18597652483563243</v>
      </c>
      <c r="U26" s="24">
        <f>U16/BP!U31</f>
        <v>0.20470021499819951</v>
      </c>
      <c r="V26" s="24">
        <f>V16/BP!V31</f>
        <v>0.26267280859777103</v>
      </c>
      <c r="W26" s="24">
        <f>W16/BP!W31</f>
        <v>0.30119145853040036</v>
      </c>
      <c r="X26" s="24">
        <f>X16/BP!X31</f>
        <v>0.32084626689295603</v>
      </c>
      <c r="Y26" s="24">
        <f>Y16/BP!Y31</f>
        <v>0.3424564239468299</v>
      </c>
      <c r="Z26" s="24">
        <f>Z16/BP!Z31</f>
        <v>0.35207660237507388</v>
      </c>
      <c r="AA26" s="24">
        <f>AA16/BP!AA31</f>
        <v>0.38578928073008606</v>
      </c>
      <c r="AB26" s="24">
        <f>AB16/BP!AB31</f>
        <v>0.41070541364406765</v>
      </c>
      <c r="AC26" s="24">
        <f>AC16/BP!AC31</f>
        <v>0.40191388352523993</v>
      </c>
      <c r="AD26" s="24">
        <f>AD16/BP!AD31</f>
        <v>0.41258687422902035</v>
      </c>
      <c r="AE26" s="24">
        <f>AE16/BP!AE31</f>
        <v>0.42965590076770521</v>
      </c>
      <c r="AF26" s="24">
        <f>AF16/BP!AF31</f>
        <v>0.45269363425082981</v>
      </c>
    </row>
    <row r="28" spans="1:32" x14ac:dyDescent="0.3">
      <c r="A28" s="6" t="s">
        <v>287</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row>
    <row r="29" spans="1:32" x14ac:dyDescent="0.3">
      <c r="A29" s="3" t="s">
        <v>288</v>
      </c>
      <c r="B29" s="8"/>
      <c r="C29" s="20">
        <f>BP!C10/BP!C24</f>
        <v>0.60790672586732175</v>
      </c>
      <c r="D29" s="20">
        <f>BP!D10/BP!D24</f>
        <v>0.84758733218882532</v>
      </c>
      <c r="E29" s="20">
        <f>BP!E10/BP!E24</f>
        <v>0.7340632965458328</v>
      </c>
      <c r="F29" s="20">
        <f>BP!F10/BP!F24</f>
        <v>0.9012219911734709</v>
      </c>
      <c r="G29" s="20">
        <f>BP!G10/BP!G24</f>
        <v>0.82098380068056875</v>
      </c>
      <c r="H29" s="20">
        <f>BP!H10/BP!H24</f>
        <v>1.1229569373197219</v>
      </c>
      <c r="I29" s="20">
        <f>BP!I10/BP!I24</f>
        <v>1.2376238933121069</v>
      </c>
      <c r="J29" s="20">
        <f>BP!J10/BP!J24</f>
        <v>1.2505571188547981</v>
      </c>
      <c r="K29" s="20">
        <f>BP!K10/BP!K24</f>
        <v>1.2695051477246893</v>
      </c>
      <c r="L29" s="20">
        <f>BP!L10/BP!L24</f>
        <v>1.2261474950235469</v>
      </c>
      <c r="M29" s="20">
        <f>BP!M10/BP!M24</f>
        <v>1.1697725476398659</v>
      </c>
      <c r="N29" s="20">
        <f>BP!N10/BP!N24</f>
        <v>0.95062519981821103</v>
      </c>
      <c r="O29" s="20">
        <f>BP!O10/BP!O24</f>
        <v>1.046301670255112</v>
      </c>
      <c r="P29" s="20">
        <f>BP!P10/BP!P24</f>
        <v>1.0454340000602664</v>
      </c>
      <c r="Q29" s="20">
        <f>BP!Q10/BP!Q24</f>
        <v>1.1353321253208246</v>
      </c>
      <c r="R29" s="20">
        <f>BP!R10/BP!R24</f>
        <v>1.1683902885068089</v>
      </c>
      <c r="S29" s="20">
        <f>BP!S10/BP!S24</f>
        <v>1.2605260657979069</v>
      </c>
      <c r="T29" s="20">
        <f>BP!T10/BP!T24</f>
        <v>1.3262557192099176</v>
      </c>
      <c r="U29" s="20">
        <f>BP!U10/BP!U24</f>
        <v>1.2927015879419352</v>
      </c>
      <c r="V29" s="20">
        <f>BP!V10/BP!V24</f>
        <v>1.1193453531369859</v>
      </c>
      <c r="W29" s="20">
        <f>BP!W10/BP!W24</f>
        <v>1.0680462088462352</v>
      </c>
      <c r="X29" s="20">
        <f>BP!X10/BP!X24</f>
        <v>0.94827948207884438</v>
      </c>
      <c r="Y29" s="20">
        <f>BP!Y10/BP!Y24</f>
        <v>1.1328062264327514</v>
      </c>
      <c r="Z29" s="20">
        <f>BP!Z10/BP!Z24</f>
        <v>1.2180280603231863</v>
      </c>
      <c r="AA29" s="20">
        <f>BP!AA10/BP!AA24</f>
        <v>1.2036434769536386</v>
      </c>
      <c r="AB29" s="20">
        <f>BP!AB10/BP!AB24</f>
        <v>1.3411604463487445</v>
      </c>
      <c r="AC29" s="20">
        <f>BP!AC10/BP!AC24</f>
        <v>1.3320101534557784</v>
      </c>
      <c r="AD29" s="20">
        <f>BP!AD10/BP!AD24</f>
        <v>1.1857093160597509</v>
      </c>
      <c r="AE29" s="20">
        <f>BP!AE10/BP!AE24</f>
        <v>1.4071526391702713</v>
      </c>
      <c r="AF29" s="20">
        <f>BP!AF10/BP!AF24</f>
        <v>1.1416085244391836</v>
      </c>
    </row>
    <row r="30" spans="1:32" x14ac:dyDescent="0.3">
      <c r="A30" s="4" t="s">
        <v>289</v>
      </c>
      <c r="B30" s="8"/>
      <c r="C30" s="22">
        <f>(BP!C10-0)/BP!C24</f>
        <v>0.60790672586732175</v>
      </c>
      <c r="D30" s="22">
        <f>(BP!D10-0)/BP!D24</f>
        <v>0.84758733218882532</v>
      </c>
      <c r="E30" s="22">
        <f>(BP!E10-0)/BP!E24</f>
        <v>0.7340632965458328</v>
      </c>
      <c r="F30" s="22">
        <f>(BP!F10-0)/BP!F24</f>
        <v>0.9012219911734709</v>
      </c>
      <c r="G30" s="22">
        <f>(BP!G10-0)/BP!G24</f>
        <v>0.82098380068056875</v>
      </c>
      <c r="H30" s="22">
        <f>(BP!H10-0)/BP!H24</f>
        <v>1.1229569373197219</v>
      </c>
      <c r="I30" s="22">
        <f>(BP!I10-0)/BP!I24</f>
        <v>1.2376238933121069</v>
      </c>
      <c r="J30" s="22">
        <f>(BP!J10-0)/BP!J24</f>
        <v>1.2505571188547981</v>
      </c>
      <c r="K30" s="22">
        <f>(BP!K10-0)/BP!K24</f>
        <v>1.2695051477246893</v>
      </c>
      <c r="L30" s="22">
        <f>(BP!L10-0)/BP!L24</f>
        <v>1.2261474950235469</v>
      </c>
      <c r="M30" s="22">
        <f>(BP!M10-0)/BP!M24</f>
        <v>1.1697725476398659</v>
      </c>
      <c r="N30" s="22">
        <f>(BP!N10-0)/BP!N24</f>
        <v>0.95062519981821103</v>
      </c>
      <c r="O30" s="22">
        <f>(BP!O10-0)/BP!O24</f>
        <v>1.046301670255112</v>
      </c>
      <c r="P30" s="22">
        <f>(BP!P10-0)/BP!P24</f>
        <v>1.0454340000602664</v>
      </c>
      <c r="Q30" s="22">
        <f>(BP!Q10-0)/BP!Q24</f>
        <v>1.1353321253208246</v>
      </c>
      <c r="R30" s="22">
        <f>(BP!R10-0)/BP!R24</f>
        <v>1.1683902885068089</v>
      </c>
      <c r="S30" s="22">
        <f>(BP!S10-0)/BP!S24</f>
        <v>1.2605260657979069</v>
      </c>
      <c r="T30" s="22">
        <f>(BP!T10-0)/BP!T24</f>
        <v>1.3262557192099176</v>
      </c>
      <c r="U30" s="22">
        <f>(BP!U10-0)/BP!U24</f>
        <v>1.2927015879419352</v>
      </c>
      <c r="V30" s="22">
        <f>(BP!V10-0)/BP!V24</f>
        <v>1.1193453531369859</v>
      </c>
      <c r="W30" s="22">
        <f>(BP!W10-0)/BP!W24</f>
        <v>1.0680462088462352</v>
      </c>
      <c r="X30" s="22">
        <f>(BP!X10-0)/BP!X24</f>
        <v>0.94827948207884438</v>
      </c>
      <c r="Y30" s="22">
        <f>(BP!Y10-0)/BP!Y24</f>
        <v>1.1328062264327514</v>
      </c>
      <c r="Z30" s="22">
        <f>(BP!Z10-0)/BP!Z24</f>
        <v>1.2180280603231863</v>
      </c>
      <c r="AA30" s="22">
        <f>(BP!AA10-0)/BP!AA24</f>
        <v>1.2036434769536386</v>
      </c>
      <c r="AB30" s="22">
        <f>(BP!AB10-0)/BP!AB24</f>
        <v>1.3411604463487445</v>
      </c>
      <c r="AC30" s="22">
        <f>(BP!AC10-0)/BP!AC24</f>
        <v>1.3320101534557784</v>
      </c>
      <c r="AD30" s="22">
        <f>(BP!AD10-0)/BP!AD24</f>
        <v>1.1857093160597509</v>
      </c>
      <c r="AE30" s="22">
        <f>(BP!AE10-0)/BP!AE24</f>
        <v>1.4071526391702713</v>
      </c>
      <c r="AF30" s="22">
        <f>(BP!AF10-0)/BP!AF24</f>
        <v>1.1416085244391836</v>
      </c>
    </row>
    <row r="31" spans="1:32" x14ac:dyDescent="0.3">
      <c r="A31" s="4" t="s">
        <v>290</v>
      </c>
      <c r="B31" s="8"/>
      <c r="C31" s="22">
        <f>(BP!C7+BP!C8)/BP!C24</f>
        <v>0.48828393683286797</v>
      </c>
      <c r="D31" s="22">
        <f>(BP!D7+BP!D8)/BP!D24</f>
        <v>0.72169866558676798</v>
      </c>
      <c r="E31" s="22">
        <f>(BP!E7+BP!E8)/BP!E24</f>
        <v>0.61106077515534796</v>
      </c>
      <c r="F31" s="22">
        <f>(BP!F7+BP!F8)/BP!F24</f>
        <v>0.73200984991166473</v>
      </c>
      <c r="G31" s="22">
        <f>(BP!G7+BP!G8)/BP!G24</f>
        <v>0.65597967843284555</v>
      </c>
      <c r="H31" s="22">
        <f>(BP!H7+BP!H8)/BP!H24</f>
        <v>0.93795645609773814</v>
      </c>
      <c r="I31" s="22">
        <f>(BP!I7+BP!I8)/BP!I24</f>
        <v>1.0570034868658447</v>
      </c>
      <c r="J31" s="22">
        <f>(BP!J7+BP!J8)/BP!J24</f>
        <v>1.0512139394051976</v>
      </c>
      <c r="K31" s="22">
        <f>(BP!K7+BP!K8)/BP!K24</f>
        <v>1.0555071296960348</v>
      </c>
      <c r="L31" s="22">
        <f>(BP!L7+BP!L8)/BP!L24</f>
        <v>0.99293261948849521</v>
      </c>
      <c r="M31" s="22">
        <f>(BP!M7+BP!M8)/BP!M24</f>
        <v>0.93507901236960578</v>
      </c>
      <c r="N31" s="22">
        <f>(BP!N7+BP!N8)/BP!N24</f>
        <v>0.71007517287735633</v>
      </c>
      <c r="O31" s="22">
        <f>(BP!O7+BP!O8)/BP!O24</f>
        <v>0.77638411836391696</v>
      </c>
      <c r="P31" s="22">
        <f>(BP!P7+BP!P8)/BP!P24</f>
        <v>0.77592425728884529</v>
      </c>
      <c r="Q31" s="22">
        <f>(BP!Q7+BP!Q8)/BP!Q24</f>
        <v>0.7872512015312022</v>
      </c>
      <c r="R31" s="22">
        <f>(BP!R7+BP!R8)/BP!R24</f>
        <v>0.76389759946256286</v>
      </c>
      <c r="S31" s="22">
        <f>(BP!S7+BP!S8)/BP!S24</f>
        <v>0.94125037427534886</v>
      </c>
      <c r="T31" s="22">
        <f>(BP!T7+BP!T8)/BP!T24</f>
        <v>0.98861016355254638</v>
      </c>
      <c r="U31" s="22">
        <f>(BP!U7+BP!U8)/BP!U24</f>
        <v>0.94348387845709603</v>
      </c>
      <c r="V31" s="22">
        <f>(BP!V7+BP!V8)/BP!V24</f>
        <v>0.80557091998277763</v>
      </c>
      <c r="W31" s="22">
        <f>(BP!W7+BP!W8)/BP!W24</f>
        <v>0.75848577980253873</v>
      </c>
      <c r="X31" s="22">
        <f>(BP!X7+BP!X8)/BP!X24</f>
        <v>0.65640164264316003</v>
      </c>
      <c r="Y31" s="22">
        <f>(BP!Y7+BP!Y8)/BP!Y24</f>
        <v>0.86147552573865294</v>
      </c>
      <c r="Z31" s="22">
        <f>(BP!Z7+BP!Z8)/BP!Z24</f>
        <v>0.89106300091117019</v>
      </c>
      <c r="AA31" s="22">
        <f>(BP!AA7+BP!AA8)/BP!AA24</f>
        <v>0.86134420275352652</v>
      </c>
      <c r="AB31" s="22">
        <f>(BP!AB7+BP!AB8)/BP!AB24</f>
        <v>0.93829184435608837</v>
      </c>
      <c r="AC31" s="22">
        <f>(BP!AC7+BP!AC8)/BP!AC24</f>
        <v>0.95813060998931443</v>
      </c>
      <c r="AD31" s="22">
        <f>(BP!AD7+BP!AD8)/BP!AD24</f>
        <v>0.82528155629805489</v>
      </c>
      <c r="AE31" s="22">
        <f>(BP!AE7+BP!AE8)/BP!AE24</f>
        <v>1.0129308817039302</v>
      </c>
      <c r="AF31" s="22">
        <f>(BP!AF7+BP!AF8)/BP!AF24</f>
        <v>0.75220327356686478</v>
      </c>
    </row>
    <row r="33" spans="1:32" x14ac:dyDescent="0.3">
      <c r="A33" s="6" t="s">
        <v>291</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x14ac:dyDescent="0.3">
      <c r="A34" s="3" t="s">
        <v>292</v>
      </c>
      <c r="B34" s="8"/>
      <c r="C34" s="10">
        <f>BP!C10-BP!C24</f>
        <v>-2688.8999999999996</v>
      </c>
      <c r="D34" s="10">
        <f>BP!D10-BP!D24</f>
        <v>-1056.8270000000002</v>
      </c>
      <c r="E34" s="10">
        <f>BP!E10-BP!E24</f>
        <v>-1930.1419999999998</v>
      </c>
      <c r="F34" s="10">
        <f>BP!F10-BP!F24</f>
        <v>-677.19200000000001</v>
      </c>
      <c r="G34" s="10">
        <f>BP!G10-BP!G24</f>
        <v>-1405.9440000000004</v>
      </c>
      <c r="H34" s="10">
        <f>BP!H10-BP!H24</f>
        <v>937.72099999999955</v>
      </c>
      <c r="I34" s="10">
        <f>BP!I10-BP!I24</f>
        <v>1886.6849999999995</v>
      </c>
      <c r="J34" s="10">
        <f>BP!J10-BP!J24</f>
        <v>1955.7950000000001</v>
      </c>
      <c r="K34" s="10">
        <f>BP!K10-BP!K24</f>
        <v>2145.7379999999994</v>
      </c>
      <c r="L34" s="10">
        <f>BP!L10-BP!L24</f>
        <v>1771.3879999999999</v>
      </c>
      <c r="M34" s="10">
        <f>BP!M10-BP!M24</f>
        <v>1366.5410000000002</v>
      </c>
      <c r="N34" s="10">
        <f>BP!N10-BP!N24</f>
        <v>-419.14100000000053</v>
      </c>
      <c r="O34" s="10">
        <f>BP!O10-BP!O24</f>
        <v>358.35899999999947</v>
      </c>
      <c r="P34" s="10">
        <f>BP!P10-BP!P24</f>
        <v>340.7559999999994</v>
      </c>
      <c r="Q34" s="10">
        <f>BP!Q10-BP!Q24</f>
        <v>1050.9790000000003</v>
      </c>
      <c r="R34" s="10">
        <f>BP!R10-BP!R24</f>
        <v>1335.4989999999998</v>
      </c>
      <c r="S34" s="10">
        <f>BP!S10-BP!S24</f>
        <v>2166.5529999999999</v>
      </c>
      <c r="T34" s="10">
        <f>BP!T10-BP!T24</f>
        <v>2830.530999999999</v>
      </c>
      <c r="U34" s="10">
        <f>BP!U10-BP!U24</f>
        <v>2440.7559999999994</v>
      </c>
      <c r="V34" s="10">
        <f>BP!V10-BP!V24</f>
        <v>1057.4779999999992</v>
      </c>
      <c r="W34" s="10">
        <f>BP!W10-BP!W24</f>
        <v>632.09599999999955</v>
      </c>
      <c r="X34" s="10">
        <f>BP!X10-BP!X24</f>
        <v>-524.44599999999991</v>
      </c>
      <c r="Y34" s="10">
        <f>BP!Y10-BP!Y24</f>
        <v>1421.973</v>
      </c>
      <c r="Z34" s="10">
        <f>BP!Z10-BP!Z24</f>
        <v>2344.9789999999994</v>
      </c>
      <c r="AA34" s="10">
        <f>BP!AA10-BP!AA24</f>
        <v>1979.1129999999994</v>
      </c>
      <c r="AB34" s="10">
        <f>BP!AB10-BP!AB24</f>
        <v>3050.7710000000006</v>
      </c>
      <c r="AC34" s="10">
        <f>BP!AC10-BP!AC24</f>
        <v>3231.0759999999991</v>
      </c>
      <c r="AD34" s="10">
        <f>BP!AD10-BP!AD24</f>
        <v>2039.2610000000004</v>
      </c>
      <c r="AE34" s="10">
        <f>BP!AE10-BP!AE24</f>
        <v>4939.4040000000005</v>
      </c>
      <c r="AF34" s="10">
        <f>BP!AF10-BP!AF24</f>
        <v>1718.4050000000007</v>
      </c>
    </row>
    <row r="35" spans="1:32" x14ac:dyDescent="0.3">
      <c r="A35" s="4" t="s">
        <v>293</v>
      </c>
      <c r="B35" s="8"/>
      <c r="C35" s="11">
        <f>BP!C9</f>
        <v>820.35</v>
      </c>
      <c r="D35" s="11">
        <f>BP!D9</f>
        <v>872.91</v>
      </c>
      <c r="E35" s="11">
        <f>BP!E9</f>
        <v>892.74</v>
      </c>
      <c r="F35" s="11">
        <f>BP!F9</f>
        <v>1160.067</v>
      </c>
      <c r="G35" s="11">
        <f>BP!G9</f>
        <v>1295.8969999999999</v>
      </c>
      <c r="H35" s="11">
        <f>BP!H9</f>
        <v>1410.8910000000001</v>
      </c>
      <c r="I35" s="11">
        <f>BP!I9</f>
        <v>1434.0889999999999</v>
      </c>
      <c r="J35" s="11">
        <f>BP!J9</f>
        <v>1556.03</v>
      </c>
      <c r="K35" s="11">
        <f>BP!K9</f>
        <v>1703.8030000000001</v>
      </c>
      <c r="L35" s="11">
        <f>BP!L9</f>
        <v>1826.7460000000001</v>
      </c>
      <c r="M35" s="11">
        <f>BP!M9</f>
        <v>1889.106</v>
      </c>
      <c r="N35" s="11">
        <f>BP!N9</f>
        <v>2042.021</v>
      </c>
      <c r="O35" s="11">
        <f>BP!O9</f>
        <v>2089.069</v>
      </c>
      <c r="P35" s="11">
        <f>BP!P9</f>
        <v>2021.329</v>
      </c>
      <c r="Q35" s="11">
        <f>BP!Q9</f>
        <v>2703.17</v>
      </c>
      <c r="R35" s="11">
        <f>BP!R9</f>
        <v>3208.0210000000002</v>
      </c>
      <c r="S35" s="11">
        <f>BP!S9</f>
        <v>2655.1190000000001</v>
      </c>
      <c r="T35" s="11">
        <f>BP!T9</f>
        <v>2929.3470000000002</v>
      </c>
      <c r="U35" s="11">
        <f>BP!U9</f>
        <v>2912.0279999999998</v>
      </c>
      <c r="V35" s="11">
        <f>BP!V9</f>
        <v>2780.2469999999998</v>
      </c>
      <c r="W35" s="11">
        <f>BP!W9</f>
        <v>2875.5740000000001</v>
      </c>
      <c r="X35" s="11">
        <f>BP!X9</f>
        <v>2959.6410000000001</v>
      </c>
      <c r="Y35" s="11">
        <f>BP!Y9</f>
        <v>2905.172</v>
      </c>
      <c r="Z35" s="11">
        <f>BP!Z9</f>
        <v>3516.64</v>
      </c>
      <c r="AA35" s="11">
        <f>BP!AA9</f>
        <v>3326.6419999999998</v>
      </c>
      <c r="AB35" s="11">
        <f>BP!AB9</f>
        <v>3602.5859999999998</v>
      </c>
      <c r="AC35" s="11">
        <f>BP!AC9</f>
        <v>3638.5430000000001</v>
      </c>
      <c r="AD35" s="11">
        <f>BP!AD9</f>
        <v>3957.8319999999999</v>
      </c>
      <c r="AE35" s="11">
        <f>BP!AE9</f>
        <v>4782.5320000000002</v>
      </c>
      <c r="AF35" s="11">
        <f>BP!AF9</f>
        <v>4725.393</v>
      </c>
    </row>
    <row r="36" spans="1:32" x14ac:dyDescent="0.3">
      <c r="A36" s="4" t="s">
        <v>294</v>
      </c>
      <c r="B36" s="8"/>
      <c r="C36" s="11">
        <f>BP!C24-BP!C22</f>
        <v>6857.8069999999998</v>
      </c>
      <c r="D36" s="11">
        <f>BP!D24-BP!D22</f>
        <v>6933.9840000000004</v>
      </c>
      <c r="E36" s="11">
        <f>BP!E24-BP!E22</f>
        <v>7257.9</v>
      </c>
      <c r="F36" s="11">
        <f>BP!F24-BP!F22</f>
        <v>6855.6959999999999</v>
      </c>
      <c r="G36" s="11">
        <f>BP!G24-BP!G22</f>
        <v>7354.7250000000004</v>
      </c>
      <c r="H36" s="11">
        <f>BP!H24-BP!H22</f>
        <v>7127.4179999999997</v>
      </c>
      <c r="I36" s="11">
        <f>BP!I24-BP!I22</f>
        <v>7439.7950000000001</v>
      </c>
      <c r="J36" s="11">
        <f>BP!J24-BP!J22</f>
        <v>7305.9070000000002</v>
      </c>
      <c r="K36" s="11">
        <f>BP!K24-BP!K22</f>
        <v>7262.77</v>
      </c>
      <c r="L36" s="11">
        <f>BP!L24-BP!L22</f>
        <v>7133.8879999999999</v>
      </c>
      <c r="M36" s="11">
        <f>BP!M24-BP!M22</f>
        <v>7350.2460000000001</v>
      </c>
      <c r="N36" s="11">
        <f>BP!N24-BP!N22</f>
        <v>7789.143</v>
      </c>
      <c r="O36" s="11">
        <f>BP!O24-BP!O22</f>
        <v>7739.6559999999999</v>
      </c>
      <c r="P36" s="11">
        <f>BP!P24-BP!P22</f>
        <v>7500.0219999999999</v>
      </c>
      <c r="Q36" s="11">
        <f>BP!Q24-BP!Q22</f>
        <v>7765.924</v>
      </c>
      <c r="R36" s="11">
        <f>BP!R24-BP!R22</f>
        <v>7930.9740000000002</v>
      </c>
      <c r="S36" s="11">
        <f>BP!S24-BP!S22</f>
        <v>7917.07</v>
      </c>
      <c r="T36" s="11">
        <f>BP!T24-BP!T22</f>
        <v>8276.8050000000003</v>
      </c>
      <c r="U36" s="11">
        <f>BP!U24-BP!U22</f>
        <v>7938.7180000000008</v>
      </c>
      <c r="V36" s="11">
        <f>BP!V24-BP!V22</f>
        <v>8460.8110000000015</v>
      </c>
      <c r="W36" s="11">
        <f>BP!W24-BP!W22</f>
        <v>8490.2170000000006</v>
      </c>
      <c r="X36" s="11">
        <f>BP!X24-BP!X22</f>
        <v>8339.9989999999998</v>
      </c>
      <c r="Y36" s="11">
        <f>BP!Y24-BP!Y22</f>
        <v>8887.1260000000002</v>
      </c>
      <c r="Z36" s="11">
        <f>BP!Z24-BP!Z22</f>
        <v>8970.9470000000001</v>
      </c>
      <c r="AA36" s="11">
        <f>BP!AA24-BP!AA22</f>
        <v>8712.5190000000002</v>
      </c>
      <c r="AB36" s="11">
        <f>BP!AB24-BP!AB22</f>
        <v>8942.3349999999991</v>
      </c>
      <c r="AC36" s="11">
        <f>BP!AC24-BP!AC22</f>
        <v>9731.8590000000004</v>
      </c>
      <c r="AD36" s="11">
        <f>BP!AD24-BP!AD22</f>
        <v>9982.0650000000005</v>
      </c>
      <c r="AE36" s="11">
        <f>BP!AE24-BP!AE22</f>
        <v>11132.578</v>
      </c>
      <c r="AF36" s="11">
        <f>BP!AF24-BP!AF22</f>
        <v>9650.8979999999992</v>
      </c>
    </row>
    <row r="37" spans="1:32" x14ac:dyDescent="0.3">
      <c r="A37" s="3" t="s">
        <v>295</v>
      </c>
      <c r="B37" s="8"/>
      <c r="C37" s="10">
        <f t="shared" ref="C37:AF37" si="3">C35-C36</f>
        <v>-6037.4569999999994</v>
      </c>
      <c r="D37" s="10">
        <f t="shared" si="3"/>
        <v>-6061.0740000000005</v>
      </c>
      <c r="E37" s="10">
        <f t="shared" si="3"/>
        <v>-6365.16</v>
      </c>
      <c r="F37" s="10">
        <f t="shared" si="3"/>
        <v>-5695.6289999999999</v>
      </c>
      <c r="G37" s="10">
        <f t="shared" si="3"/>
        <v>-6058.8280000000004</v>
      </c>
      <c r="H37" s="10">
        <f t="shared" si="3"/>
        <v>-5716.527</v>
      </c>
      <c r="I37" s="10">
        <f t="shared" si="3"/>
        <v>-6005.7060000000001</v>
      </c>
      <c r="J37" s="10">
        <f t="shared" si="3"/>
        <v>-5749.8770000000004</v>
      </c>
      <c r="K37" s="10">
        <f t="shared" si="3"/>
        <v>-5558.9670000000006</v>
      </c>
      <c r="L37" s="10">
        <f t="shared" si="3"/>
        <v>-5307.1419999999998</v>
      </c>
      <c r="M37" s="10">
        <f t="shared" si="3"/>
        <v>-5461.14</v>
      </c>
      <c r="N37" s="10">
        <f t="shared" si="3"/>
        <v>-5747.1220000000003</v>
      </c>
      <c r="O37" s="10">
        <f t="shared" si="3"/>
        <v>-5650.5869999999995</v>
      </c>
      <c r="P37" s="10">
        <f t="shared" si="3"/>
        <v>-5478.6930000000002</v>
      </c>
      <c r="Q37" s="10">
        <f t="shared" si="3"/>
        <v>-5062.7539999999999</v>
      </c>
      <c r="R37" s="10">
        <f t="shared" si="3"/>
        <v>-4722.9529999999995</v>
      </c>
      <c r="S37" s="10">
        <f t="shared" si="3"/>
        <v>-5261.9509999999991</v>
      </c>
      <c r="T37" s="10">
        <f t="shared" si="3"/>
        <v>-5347.4580000000005</v>
      </c>
      <c r="U37" s="10">
        <f t="shared" si="3"/>
        <v>-5026.6900000000005</v>
      </c>
      <c r="V37" s="10">
        <f t="shared" si="3"/>
        <v>-5680.5640000000021</v>
      </c>
      <c r="W37" s="10">
        <f t="shared" si="3"/>
        <v>-5614.643</v>
      </c>
      <c r="X37" s="10">
        <f t="shared" si="3"/>
        <v>-5380.3580000000002</v>
      </c>
      <c r="Y37" s="10">
        <f t="shared" si="3"/>
        <v>-5981.9539999999997</v>
      </c>
      <c r="Z37" s="10">
        <f t="shared" si="3"/>
        <v>-5454.3070000000007</v>
      </c>
      <c r="AA37" s="10">
        <f t="shared" si="3"/>
        <v>-5385.8770000000004</v>
      </c>
      <c r="AB37" s="10">
        <f t="shared" si="3"/>
        <v>-5339.7489999999998</v>
      </c>
      <c r="AC37" s="10">
        <f t="shared" si="3"/>
        <v>-6093.3160000000007</v>
      </c>
      <c r="AD37" s="10">
        <f t="shared" si="3"/>
        <v>-6024.2330000000002</v>
      </c>
      <c r="AE37" s="10">
        <f t="shared" si="3"/>
        <v>-6350.0459999999994</v>
      </c>
      <c r="AF37" s="10">
        <f t="shared" si="3"/>
        <v>-4925.5049999999992</v>
      </c>
    </row>
    <row r="38" spans="1:32" x14ac:dyDescent="0.3">
      <c r="A38" s="3" t="s">
        <v>296</v>
      </c>
      <c r="B38" s="8"/>
      <c r="C38" s="10">
        <f t="shared" ref="C38:AF38" si="4">C34-C37</f>
        <v>3348.5569999999998</v>
      </c>
      <c r="D38" s="10">
        <f t="shared" si="4"/>
        <v>5004.2470000000003</v>
      </c>
      <c r="E38" s="10">
        <f t="shared" si="4"/>
        <v>4435.018</v>
      </c>
      <c r="F38" s="10">
        <f t="shared" si="4"/>
        <v>5018.4369999999999</v>
      </c>
      <c r="G38" s="10">
        <f t="shared" si="4"/>
        <v>4652.884</v>
      </c>
      <c r="H38" s="10">
        <f t="shared" si="4"/>
        <v>6654.2479999999996</v>
      </c>
      <c r="I38" s="10">
        <f t="shared" si="4"/>
        <v>7892.3909999999996</v>
      </c>
      <c r="J38" s="10">
        <f t="shared" si="4"/>
        <v>7705.6720000000005</v>
      </c>
      <c r="K38" s="10">
        <f t="shared" si="4"/>
        <v>7704.7049999999999</v>
      </c>
      <c r="L38" s="10">
        <f t="shared" si="4"/>
        <v>7078.53</v>
      </c>
      <c r="M38" s="10">
        <f t="shared" si="4"/>
        <v>6827.6810000000005</v>
      </c>
      <c r="N38" s="10">
        <f t="shared" si="4"/>
        <v>5327.9809999999998</v>
      </c>
      <c r="O38" s="10">
        <f t="shared" si="4"/>
        <v>6008.945999999999</v>
      </c>
      <c r="P38" s="10">
        <f t="shared" si="4"/>
        <v>5819.4489999999996</v>
      </c>
      <c r="Q38" s="10">
        <f t="shared" si="4"/>
        <v>6113.7330000000002</v>
      </c>
      <c r="R38" s="10">
        <f t="shared" si="4"/>
        <v>6058.4519999999993</v>
      </c>
      <c r="S38" s="10">
        <f t="shared" si="4"/>
        <v>7428.503999999999</v>
      </c>
      <c r="T38" s="10">
        <f t="shared" si="4"/>
        <v>8177.9889999999996</v>
      </c>
      <c r="U38" s="10">
        <f t="shared" si="4"/>
        <v>7467.4459999999999</v>
      </c>
      <c r="V38" s="10">
        <f t="shared" si="4"/>
        <v>6738.0420000000013</v>
      </c>
      <c r="W38" s="10">
        <f t="shared" si="4"/>
        <v>6246.7389999999996</v>
      </c>
      <c r="X38" s="10">
        <f t="shared" si="4"/>
        <v>4855.9120000000003</v>
      </c>
      <c r="Y38" s="10">
        <f t="shared" si="4"/>
        <v>7403.9269999999997</v>
      </c>
      <c r="Z38" s="10">
        <f t="shared" si="4"/>
        <v>7799.2860000000001</v>
      </c>
      <c r="AA38" s="10">
        <f t="shared" si="4"/>
        <v>7364.99</v>
      </c>
      <c r="AB38" s="10">
        <f t="shared" si="4"/>
        <v>8390.52</v>
      </c>
      <c r="AC38" s="10">
        <f t="shared" si="4"/>
        <v>9324.3919999999998</v>
      </c>
      <c r="AD38" s="10">
        <f t="shared" si="4"/>
        <v>8063.4940000000006</v>
      </c>
      <c r="AE38" s="10">
        <f t="shared" si="4"/>
        <v>11289.45</v>
      </c>
      <c r="AF38" s="10">
        <f t="shared" si="4"/>
        <v>6643.91</v>
      </c>
    </row>
    <row r="39" spans="1:32" x14ac:dyDescent="0.3">
      <c r="A39" s="4" t="s">
        <v>297</v>
      </c>
      <c r="B39" s="8"/>
      <c r="C39" s="12">
        <f>C38-(BP!C7+BP!C8-BP!C22)</f>
        <v>0</v>
      </c>
      <c r="D39" s="12">
        <f>D38-(BP!D7+BP!D8-BP!D22)</f>
        <v>0</v>
      </c>
      <c r="E39" s="12">
        <f>E38-(BP!E7+BP!E8-BP!E22)</f>
        <v>0</v>
      </c>
      <c r="F39" s="12">
        <f>F38-(BP!F7+BP!F8-BP!F22)</f>
        <v>0</v>
      </c>
      <c r="G39" s="12">
        <f>G38-(BP!G7+BP!G8-BP!G22)</f>
        <v>0</v>
      </c>
      <c r="H39" s="12">
        <f>H38-(BP!H7+BP!H8-BP!H22)</f>
        <v>0</v>
      </c>
      <c r="I39" s="12">
        <f>I38-(BP!I7+BP!I8-BP!I22)</f>
        <v>0</v>
      </c>
      <c r="J39" s="12">
        <f>J38-(BP!J7+BP!J8-BP!J22)</f>
        <v>0</v>
      </c>
      <c r="K39" s="12">
        <f>K38-(BP!K7+BP!K8-BP!K22)</f>
        <v>0</v>
      </c>
      <c r="L39" s="12">
        <f>L38-(BP!L7+BP!L8-BP!L22)</f>
        <v>0</v>
      </c>
      <c r="M39" s="12">
        <f>M38-(BP!M7+BP!M8-BP!M22)</f>
        <v>0</v>
      </c>
      <c r="N39" s="12">
        <f>N38-(BP!N7+BP!N8-BP!N22)</f>
        <v>0</v>
      </c>
      <c r="O39" s="12">
        <f>O38-(BP!O7+BP!O8-BP!O22)</f>
        <v>0</v>
      </c>
      <c r="P39" s="12">
        <f>P38-(BP!P7+BP!P8-BP!P22)</f>
        <v>0</v>
      </c>
      <c r="Q39" s="12">
        <f>Q38-(BP!Q7+BP!Q8-BP!Q22)</f>
        <v>0</v>
      </c>
      <c r="R39" s="12">
        <f>R38-(BP!R7+BP!R8-BP!R22)</f>
        <v>0</v>
      </c>
      <c r="S39" s="12">
        <f>S38-(BP!S7+BP!S8-BP!S22)</f>
        <v>0</v>
      </c>
      <c r="T39" s="12">
        <f>T38-(BP!T7+BP!T8-BP!T22)</f>
        <v>0</v>
      </c>
      <c r="U39" s="12">
        <f>U38-(BP!U7+BP!U8-BP!U22)</f>
        <v>0</v>
      </c>
      <c r="V39" s="12">
        <f>V38-(BP!V7+BP!V8-BP!V22)</f>
        <v>0</v>
      </c>
      <c r="W39" s="12">
        <f>W38-(BP!W7+BP!W8-BP!W22)</f>
        <v>0</v>
      </c>
      <c r="X39" s="12">
        <f>X38-(BP!X7+BP!X8-BP!X22)</f>
        <v>0</v>
      </c>
      <c r="Y39" s="12">
        <f>Y38-(BP!Y7+BP!Y8-BP!Y22)</f>
        <v>0</v>
      </c>
      <c r="Z39" s="12">
        <f>Z38-(BP!Z7+BP!Z8-BP!Z22)</f>
        <v>0</v>
      </c>
      <c r="AA39" s="12">
        <f>AA38-(BP!AA7+BP!AA8-BP!AA22)</f>
        <v>0</v>
      </c>
      <c r="AB39" s="12">
        <f>AB38-(BP!AB7+BP!AB8-BP!AB22)</f>
        <v>0</v>
      </c>
      <c r="AC39" s="12">
        <f>AC38-(BP!AC7+BP!AC8-BP!AC22)</f>
        <v>0</v>
      </c>
      <c r="AD39" s="12">
        <f>AD38-(BP!AD7+BP!AD8-BP!AD22)</f>
        <v>0</v>
      </c>
      <c r="AE39" s="12">
        <f>AE38-(BP!AE7+BP!AE8-BP!AE22)</f>
        <v>0</v>
      </c>
      <c r="AF39" s="12">
        <f>AF38-(BP!AF7+BP!AF8-BP!AF22)</f>
        <v>0</v>
      </c>
    </row>
    <row r="40" spans="1:32" x14ac:dyDescent="0.3">
      <c r="A40" s="3" t="s">
        <v>298</v>
      </c>
      <c r="B40" s="8"/>
      <c r="C40" s="25" t="str">
        <f t="shared" ref="C40:AF40" si="5">IF(AND(C34&gt;0,NOT(C37&gt;0),C38&gt;0),"I - Excelente",IF(AND(C34&gt;0,C37&gt;0,C38&gt;0),"II - Sólida",IF(AND(C34&gt;0,C37&gt;0,NOT(C38&gt;0)),"III - Insatisfatória",IF(AND(NOT(C34&gt;0),C37&gt;0,NOT(C38&gt;0)),"IV - Péssima",IF(AND(NOT(C34&gt;0),NOT(C37&gt;0),NOT(C38&gt;0)),"V - Muito ruim",IF(AND(NOT(C34&gt;0),NOT(C37&gt;0),C38&gt;0),"VI - Alto risco","Outra"))))))</f>
        <v>VI - Alto risco</v>
      </c>
      <c r="D40" s="25" t="str">
        <f t="shared" si="5"/>
        <v>VI - Alto risco</v>
      </c>
      <c r="E40" s="25" t="str">
        <f t="shared" si="5"/>
        <v>VI - Alto risco</v>
      </c>
      <c r="F40" s="25" t="str">
        <f t="shared" si="5"/>
        <v>VI - Alto risco</v>
      </c>
      <c r="G40" s="25" t="str">
        <f t="shared" si="5"/>
        <v>VI - Alto risco</v>
      </c>
      <c r="H40" s="25" t="str">
        <f t="shared" si="5"/>
        <v>I - Excelente</v>
      </c>
      <c r="I40" s="25" t="str">
        <f t="shared" si="5"/>
        <v>I - Excelente</v>
      </c>
      <c r="J40" s="25" t="str">
        <f t="shared" si="5"/>
        <v>I - Excelente</v>
      </c>
      <c r="K40" s="25" t="str">
        <f t="shared" si="5"/>
        <v>I - Excelente</v>
      </c>
      <c r="L40" s="25" t="str">
        <f t="shared" si="5"/>
        <v>I - Excelente</v>
      </c>
      <c r="M40" s="25" t="str">
        <f t="shared" si="5"/>
        <v>I - Excelente</v>
      </c>
      <c r="N40" s="25" t="str">
        <f t="shared" si="5"/>
        <v>VI - Alto risco</v>
      </c>
      <c r="O40" s="25" t="str">
        <f t="shared" si="5"/>
        <v>I - Excelente</v>
      </c>
      <c r="P40" s="25" t="str">
        <f t="shared" si="5"/>
        <v>I - Excelente</v>
      </c>
      <c r="Q40" s="25" t="str">
        <f t="shared" si="5"/>
        <v>I - Excelente</v>
      </c>
      <c r="R40" s="25" t="str">
        <f t="shared" si="5"/>
        <v>I - Excelente</v>
      </c>
      <c r="S40" s="25" t="str">
        <f t="shared" si="5"/>
        <v>I - Excelente</v>
      </c>
      <c r="T40" s="25" t="str">
        <f t="shared" si="5"/>
        <v>I - Excelente</v>
      </c>
      <c r="U40" s="25" t="str">
        <f t="shared" si="5"/>
        <v>I - Excelente</v>
      </c>
      <c r="V40" s="25" t="str">
        <f t="shared" si="5"/>
        <v>I - Excelente</v>
      </c>
      <c r="W40" s="25" t="str">
        <f t="shared" si="5"/>
        <v>I - Excelente</v>
      </c>
      <c r="X40" s="25" t="str">
        <f t="shared" si="5"/>
        <v>VI - Alto risco</v>
      </c>
      <c r="Y40" s="25" t="str">
        <f t="shared" si="5"/>
        <v>I - Excelente</v>
      </c>
      <c r="Z40" s="25" t="str">
        <f t="shared" si="5"/>
        <v>I - Excelente</v>
      </c>
      <c r="AA40" s="25" t="str">
        <f t="shared" si="5"/>
        <v>I - Excelente</v>
      </c>
      <c r="AB40" s="25" t="str">
        <f t="shared" si="5"/>
        <v>I - Excelente</v>
      </c>
      <c r="AC40" s="25" t="str">
        <f t="shared" si="5"/>
        <v>I - Excelente</v>
      </c>
      <c r="AD40" s="25" t="str">
        <f t="shared" si="5"/>
        <v>I - Excelente</v>
      </c>
      <c r="AE40" s="25" t="str">
        <f t="shared" si="5"/>
        <v>I - Excelente</v>
      </c>
      <c r="AF40" s="25" t="str">
        <f t="shared" si="5"/>
        <v>I - Excelente</v>
      </c>
    </row>
    <row r="42" spans="1:32" x14ac:dyDescent="0.3">
      <c r="A42" s="8" t="s">
        <v>299</v>
      </c>
    </row>
    <row r="44" spans="1:32" x14ac:dyDescent="0.3">
      <c r="A44" s="6" t="s">
        <v>300</v>
      </c>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row>
    <row r="45" spans="1:32" x14ac:dyDescent="0.3">
      <c r="A45" s="4" t="s">
        <v>301</v>
      </c>
      <c r="B45" s="8"/>
      <c r="C45" s="22">
        <f>BP!C30/BP!C31</f>
        <v>3.7726381180061646</v>
      </c>
      <c r="D45" s="22">
        <f>BP!D30/BP!D31</f>
        <v>3.9416266975544212</v>
      </c>
      <c r="E45" s="22">
        <f>BP!E30/BP!E31</f>
        <v>3.5094641773196984</v>
      </c>
      <c r="F45" s="22">
        <f>BP!F30/BP!F31</f>
        <v>3.4810087683491648</v>
      </c>
      <c r="G45" s="22">
        <f>BP!G30/BP!G31</f>
        <v>3.1691859031209995</v>
      </c>
      <c r="H45" s="22">
        <f>BP!H30/BP!H31</f>
        <v>2.982460060807179</v>
      </c>
      <c r="I45" s="22">
        <f>BP!I30/BP!I31</f>
        <v>2.7376691892820926</v>
      </c>
      <c r="J45" s="22">
        <f>BP!J30/BP!J31</f>
        <v>2.5498876662413106</v>
      </c>
      <c r="K45" s="22">
        <f>BP!K30/BP!K31</f>
        <v>2.114154367250126</v>
      </c>
      <c r="L45" s="22">
        <f>BP!L30/BP!L31</f>
        <v>1.955232993728808</v>
      </c>
      <c r="M45" s="22">
        <f>BP!M30/BP!M31</f>
        <v>1.7907884996405723</v>
      </c>
      <c r="N45" s="22">
        <f>BP!N30/BP!N31</f>
        <v>1.8130459565021635</v>
      </c>
      <c r="O45" s="22">
        <f>BP!O30/BP!O31</f>
        <v>1.5838351134536353</v>
      </c>
      <c r="P45" s="22">
        <f>BP!P30/BP!P31</f>
        <v>1.4298069917688083</v>
      </c>
      <c r="Q45" s="22">
        <f>BP!Q30/BP!Q31</f>
        <v>1.3169261649167354</v>
      </c>
      <c r="R45" s="22">
        <f>BP!R30/BP!R31</f>
        <v>1.3388280372506647</v>
      </c>
      <c r="S45" s="22">
        <f>BP!S30/BP!S31</f>
        <v>1.2672668414742108</v>
      </c>
      <c r="T45" s="22">
        <f>BP!T30/BP!T31</f>
        <v>1.2256917692830065</v>
      </c>
      <c r="U45" s="22">
        <f>BP!U30/BP!U31</f>
        <v>1.2391270668715371</v>
      </c>
      <c r="V45" s="22">
        <f>BP!V30/BP!V31</f>
        <v>1.3669735349370298</v>
      </c>
      <c r="W45" s="22">
        <f>BP!W30/BP!W31</f>
        <v>1.2853631641049716</v>
      </c>
      <c r="X45" s="22">
        <f>BP!X30/BP!X31</f>
        <v>1.2203941871756643</v>
      </c>
      <c r="Y45" s="22">
        <f>BP!Y30/BP!Y31</f>
        <v>1.3010629585238789</v>
      </c>
      <c r="Z45" s="22">
        <f>BP!Z30/BP!Z31</f>
        <v>1.1674471590939173</v>
      </c>
      <c r="AA45" s="22">
        <f>BP!AA30/BP!AA31</f>
        <v>1.1677828263631462</v>
      </c>
      <c r="AB45" s="22">
        <f>BP!AB30/BP!AB31</f>
        <v>1.1280810731079025</v>
      </c>
      <c r="AC45" s="22">
        <f>BP!AC30/BP!AC31</f>
        <v>1.1166202095358198</v>
      </c>
      <c r="AD45" s="22">
        <f>BP!AD30/BP!AD31</f>
        <v>1.0888962471775832</v>
      </c>
      <c r="AE45" s="22">
        <f>BP!AE30/BP!AE31</f>
        <v>0.96026254113108289</v>
      </c>
      <c r="AF45" s="22">
        <f>BP!AF30/BP!AF31</f>
        <v>0.93852282425090006</v>
      </c>
    </row>
    <row r="46" spans="1:32" x14ac:dyDescent="0.3">
      <c r="A46" s="4" t="s">
        <v>302</v>
      </c>
      <c r="B46" s="8"/>
      <c r="C46" s="11">
        <f>BP!C22+BP!C26</f>
        <v>10305.022999999999</v>
      </c>
      <c r="D46" s="11">
        <f>BP!D22+BP!D26</f>
        <v>12594</v>
      </c>
      <c r="E46" s="11">
        <f>BP!E22+BP!E26</f>
        <v>12426</v>
      </c>
      <c r="F46" s="11">
        <f>BP!F22+BP!F26</f>
        <v>14759</v>
      </c>
      <c r="G46" s="11">
        <f>BP!G22+BP!G26</f>
        <v>14669.691999999999</v>
      </c>
      <c r="H46" s="11">
        <f>BP!H22+BP!H26</f>
        <v>15793.998</v>
      </c>
      <c r="I46" s="11">
        <f>BP!I22+BP!I26</f>
        <v>16047.616</v>
      </c>
      <c r="J46" s="11">
        <f>BP!J22+BP!J26</f>
        <v>16308.973</v>
      </c>
      <c r="K46" s="11">
        <f>BP!K22+BP!K26</f>
        <v>15559.552</v>
      </c>
      <c r="L46" s="11">
        <f>BP!L22+BP!L26</f>
        <v>15625.888999999999</v>
      </c>
      <c r="M46" s="11">
        <f>BP!M22+BP!M26</f>
        <v>15492.691000000001</v>
      </c>
      <c r="N46" s="11">
        <f>BP!N22+BP!N26</f>
        <v>15392.895</v>
      </c>
      <c r="O46" s="11">
        <f>BP!O22+BP!O26</f>
        <v>14534.561</v>
      </c>
      <c r="P46" s="11">
        <f>BP!P22+BP!P26</f>
        <v>14233.303</v>
      </c>
      <c r="Q46" s="11">
        <f>BP!Q22+BP!Q26</f>
        <v>13888.117</v>
      </c>
      <c r="R46" s="11">
        <f>BP!R22+BP!R26</f>
        <v>14353.075999999999</v>
      </c>
      <c r="S46" s="11">
        <f>BP!S22+BP!S26</f>
        <v>14436.965</v>
      </c>
      <c r="T46" s="11">
        <f>BP!T22+BP!T26</f>
        <v>14469.151</v>
      </c>
      <c r="U46" s="11">
        <f>BP!U22+BP!U26</f>
        <v>14300.754000000001</v>
      </c>
      <c r="V46" s="11">
        <f>BP!V22+BP!V26</f>
        <v>14543.260999999999</v>
      </c>
      <c r="W46" s="11">
        <f>BP!W22+BP!W26</f>
        <v>14016.038</v>
      </c>
      <c r="X46" s="11">
        <f>BP!X22+BP!X26</f>
        <v>13980.023999999999</v>
      </c>
      <c r="Y46" s="11">
        <f>BP!Y22+BP!Y26</f>
        <v>15980.932000000001</v>
      </c>
      <c r="Z46" s="11">
        <f>BP!Z22+BP!Z26</f>
        <v>15582.804</v>
      </c>
      <c r="AA46" s="11">
        <f>BP!AA22+BP!AA26</f>
        <v>15017.037</v>
      </c>
      <c r="AB46" s="11">
        <f>BP!AB22+BP!AB26</f>
        <v>14453.206</v>
      </c>
      <c r="AC46" s="11">
        <f>BP!AC22+BP!AC26</f>
        <v>14463.02</v>
      </c>
      <c r="AD46" s="11">
        <f>BP!AD22+BP!AD26</f>
        <v>14462.835999999999</v>
      </c>
      <c r="AE46" s="11">
        <f>BP!AE22+BP!AE26</f>
        <v>14360.331</v>
      </c>
      <c r="AF46" s="11">
        <f>BP!AF22+BP!AF26</f>
        <v>14309.548000000001</v>
      </c>
    </row>
    <row r="47" spans="1:32" x14ac:dyDescent="0.3">
      <c r="A47" s="3" t="s">
        <v>303</v>
      </c>
      <c r="B47" s="8"/>
      <c r="C47" s="10">
        <f>C46-BP!C7-BP!C8</f>
        <v>6956.4659999999994</v>
      </c>
      <c r="D47" s="10">
        <f>D46-BP!D7-BP!D8</f>
        <v>7589.7529999999997</v>
      </c>
      <c r="E47" s="10">
        <f>E46-BP!E7-BP!E8</f>
        <v>7990.982</v>
      </c>
      <c r="F47" s="10">
        <f>F46-BP!F7-BP!F8</f>
        <v>9740.5630000000001</v>
      </c>
      <c r="G47" s="10">
        <f>G46-BP!G7-BP!G8</f>
        <v>9517.8079999999991</v>
      </c>
      <c r="H47" s="10">
        <f>H46-BP!H7-BP!H8</f>
        <v>8640.75</v>
      </c>
      <c r="I47" s="10">
        <f>I46-BP!I7-BP!I8</f>
        <v>7655.2250000000004</v>
      </c>
      <c r="J47" s="10">
        <f>J46-BP!J7-BP!J8</f>
        <v>8103.4230000000007</v>
      </c>
      <c r="K47" s="10">
        <f>K46-BP!K7-BP!K8</f>
        <v>7155.8469999999998</v>
      </c>
      <c r="L47" s="10">
        <f>L46-BP!L7-BP!L8</f>
        <v>7848.3589999999995</v>
      </c>
      <c r="M47" s="10">
        <f>M46-BP!M7-BP!M8</f>
        <v>7966.0100000000011</v>
      </c>
      <c r="N47" s="10">
        <f>N46-BP!N7-BP!N8</f>
        <v>9365.0910000000003</v>
      </c>
      <c r="O47" s="10">
        <f>O46-BP!O7-BP!O8</f>
        <v>8525.6149999999998</v>
      </c>
      <c r="P47" s="10">
        <f>P46-BP!P7-BP!P8</f>
        <v>8413.8539999999994</v>
      </c>
      <c r="Q47" s="10">
        <f>Q46-BP!Q7-BP!Q8</f>
        <v>7774.384</v>
      </c>
      <c r="R47" s="10">
        <f>R46-BP!R7-BP!R8</f>
        <v>8294.623999999998</v>
      </c>
      <c r="S47" s="10">
        <f>S46-BP!S7-BP!S8</f>
        <v>6609.4610000000002</v>
      </c>
      <c r="T47" s="10">
        <f>T46-BP!T7-BP!T8</f>
        <v>5892.1620000000003</v>
      </c>
      <c r="U47" s="10">
        <f>U46-BP!U7-BP!U8</f>
        <v>6433.3080000000009</v>
      </c>
      <c r="V47" s="10">
        <f>V46-BP!V7-BP!V8</f>
        <v>7405.3749999999991</v>
      </c>
      <c r="W47" s="10">
        <f>W46-BP!W7-BP!W8</f>
        <v>6970.2990000000009</v>
      </c>
      <c r="X47" s="10">
        <f>X46-BP!X7-BP!X8</f>
        <v>7324.1119999999992</v>
      </c>
      <c r="Y47" s="10">
        <f>Y46-BP!Y7-BP!Y8</f>
        <v>6757.005000000001</v>
      </c>
      <c r="Z47" s="10">
        <f>Z46-BP!Z7-BP!Z8</f>
        <v>5999.0649999999996</v>
      </c>
      <c r="AA47" s="10">
        <f>AA46-BP!AA7-BP!AA8</f>
        <v>6646.0470000000005</v>
      </c>
      <c r="AB47" s="10">
        <f>AB46-BP!AB7-BP!AB8</f>
        <v>6062.6860000000006</v>
      </c>
      <c r="AC47" s="10">
        <f>AC46-BP!AC7-BP!AC8</f>
        <v>5138.6280000000006</v>
      </c>
      <c r="AD47" s="10">
        <f>AD46-BP!AD7-BP!AD8</f>
        <v>5400.476999999999</v>
      </c>
      <c r="AE47" s="10">
        <f>AE46-BP!AE7-BP!AE8</f>
        <v>2071.8809999999994</v>
      </c>
      <c r="AF47" s="10">
        <f>AF46-BP!AF7-BP!AF8</f>
        <v>5181.6380000000008</v>
      </c>
    </row>
    <row r="48" spans="1:32" x14ac:dyDescent="0.3">
      <c r="A48" s="3" t="s">
        <v>304</v>
      </c>
      <c r="B48" s="8"/>
      <c r="C48" s="26" t="s">
        <v>229</v>
      </c>
      <c r="D48" s="26" t="s">
        <v>229</v>
      </c>
      <c r="E48" s="26" t="s">
        <v>229</v>
      </c>
      <c r="F48" s="13">
        <f t="shared" ref="F48:AF48" si="6">F47/F15</f>
        <v>3.5971801067495672</v>
      </c>
      <c r="G48" s="13">
        <f t="shared" si="6"/>
        <v>2.9632389683436382</v>
      </c>
      <c r="H48" s="13">
        <f t="shared" si="6"/>
        <v>2.2358515099097329</v>
      </c>
      <c r="I48" s="13">
        <f t="shared" si="6"/>
        <v>1.8221762929335441</v>
      </c>
      <c r="J48" s="13">
        <f t="shared" si="6"/>
        <v>1.7237661611925468</v>
      </c>
      <c r="K48" s="13">
        <f t="shared" si="6"/>
        <v>1.2532519834677887</v>
      </c>
      <c r="L48" s="13">
        <f t="shared" si="6"/>
        <v>1.2635618191237965</v>
      </c>
      <c r="M48" s="13">
        <f t="shared" si="6"/>
        <v>1.1901376171460878</v>
      </c>
      <c r="N48" s="13">
        <f t="shared" si="6"/>
        <v>1.462627916227609</v>
      </c>
      <c r="O48" s="13">
        <f t="shared" si="6"/>
        <v>1.3210732632200064</v>
      </c>
      <c r="P48" s="13">
        <f t="shared" si="6"/>
        <v>1.3506953296017064</v>
      </c>
      <c r="Q48" s="13">
        <f t="shared" si="6"/>
        <v>1.2910021561029137</v>
      </c>
      <c r="R48" s="13">
        <f t="shared" si="6"/>
        <v>1.3894976022332137</v>
      </c>
      <c r="S48" s="13">
        <f t="shared" si="6"/>
        <v>1.1538990390432018</v>
      </c>
      <c r="T48" s="13">
        <f t="shared" si="6"/>
        <v>0.98486390046529027</v>
      </c>
      <c r="U48" s="13">
        <f t="shared" si="6"/>
        <v>1.0096903978849781</v>
      </c>
      <c r="V48" s="13">
        <f t="shared" si="6"/>
        <v>1.0129155581695948</v>
      </c>
      <c r="W48" s="13">
        <f t="shared" si="6"/>
        <v>0.84734294619080375</v>
      </c>
      <c r="X48" s="13">
        <f t="shared" si="6"/>
        <v>0.81437277021051258</v>
      </c>
      <c r="Y48" s="13">
        <f t="shared" si="6"/>
        <v>0.67726504999198656</v>
      </c>
      <c r="Z48" s="13">
        <f t="shared" si="6"/>
        <v>0.55823285436933667</v>
      </c>
      <c r="AA48" s="13">
        <f t="shared" si="6"/>
        <v>0.58024689741227076</v>
      </c>
      <c r="AB48" s="13">
        <f t="shared" si="6"/>
        <v>0.48023295078787076</v>
      </c>
      <c r="AC48" s="13">
        <f t="shared" si="6"/>
        <v>0.39620403047082764</v>
      </c>
      <c r="AD48" s="13">
        <f t="shared" si="6"/>
        <v>0.39534993871153062</v>
      </c>
      <c r="AE48" s="13">
        <f t="shared" si="6"/>
        <v>0.14500341463462427</v>
      </c>
      <c r="AF48" s="13">
        <f t="shared" si="6"/>
        <v>0.35184778145562035</v>
      </c>
    </row>
    <row r="49" spans="1:32" x14ac:dyDescent="0.3">
      <c r="A49" s="4" t="s">
        <v>305</v>
      </c>
      <c r="B49" s="8"/>
      <c r="C49" s="26" t="s">
        <v>229</v>
      </c>
      <c r="D49" s="26" t="s">
        <v>229</v>
      </c>
      <c r="E49" s="26" t="s">
        <v>229</v>
      </c>
      <c r="F49" s="27">
        <f t="shared" ref="F49:AF49" si="7">F14/F17</f>
        <v>4.1599973163925288</v>
      </c>
      <c r="G49" s="27">
        <f t="shared" si="7"/>
        <v>4.6005511602085445</v>
      </c>
      <c r="H49" s="27">
        <f t="shared" si="7"/>
        <v>5.276045215998427</v>
      </c>
      <c r="I49" s="27">
        <f t="shared" si="7"/>
        <v>5.4664917378902134</v>
      </c>
      <c r="J49" s="27">
        <f t="shared" si="7"/>
        <v>5.9743256994471636</v>
      </c>
      <c r="K49" s="27">
        <f t="shared" si="7"/>
        <v>7.1824206536942574</v>
      </c>
      <c r="L49" s="27">
        <f t="shared" si="7"/>
        <v>7.7902316201875061</v>
      </c>
      <c r="M49" s="27">
        <f t="shared" si="7"/>
        <v>8.4266547880270561</v>
      </c>
      <c r="N49" s="27">
        <f t="shared" si="7"/>
        <v>8.0908401034455739</v>
      </c>
      <c r="O49" s="27">
        <f t="shared" si="7"/>
        <v>8.1795128624503963</v>
      </c>
      <c r="P49" s="27">
        <f t="shared" si="7"/>
        <v>7.9916488533999548</v>
      </c>
      <c r="Q49" s="27">
        <f t="shared" si="7"/>
        <v>7.8819275679343708</v>
      </c>
      <c r="R49" s="27">
        <f t="shared" si="7"/>
        <v>7.976119069061415</v>
      </c>
      <c r="S49" s="27">
        <f t="shared" si="7"/>
        <v>7.7583189968709929</v>
      </c>
      <c r="T49" s="27">
        <f t="shared" si="7"/>
        <v>8.1250886628557879</v>
      </c>
      <c r="U49" s="27">
        <f t="shared" si="7"/>
        <v>8.6416154955934612</v>
      </c>
      <c r="V49" s="27">
        <f t="shared" si="7"/>
        <v>9.936759994627236</v>
      </c>
      <c r="W49" s="27">
        <f t="shared" si="7"/>
        <v>11.263712600210905</v>
      </c>
      <c r="X49" s="27">
        <f t="shared" si="7"/>
        <v>12.495573456634036</v>
      </c>
      <c r="Y49" s="27">
        <f t="shared" si="7"/>
        <v>13.746441821536427</v>
      </c>
      <c r="Z49" s="27">
        <f t="shared" si="7"/>
        <v>14.494414476585881</v>
      </c>
      <c r="AA49" s="27">
        <f t="shared" si="7"/>
        <v>15.257971932219556</v>
      </c>
      <c r="AB49" s="27">
        <f t="shared" si="7"/>
        <v>16.53190443047669</v>
      </c>
      <c r="AC49" s="27">
        <f t="shared" si="7"/>
        <v>17.207562629471447</v>
      </c>
      <c r="AD49" s="27">
        <f t="shared" si="7"/>
        <v>17.162178207621281</v>
      </c>
      <c r="AE49" s="27">
        <f t="shared" si="7"/>
        <v>16.311278477086663</v>
      </c>
      <c r="AF49" s="27">
        <f t="shared" si="7"/>
        <v>16.938462518776898</v>
      </c>
    </row>
    <row r="50" spans="1:32" x14ac:dyDescent="0.3">
      <c r="A50" s="4" t="s">
        <v>306</v>
      </c>
      <c r="B50" s="8"/>
      <c r="C50" s="17" t="s">
        <v>229</v>
      </c>
      <c r="D50" s="17" t="s">
        <v>229</v>
      </c>
      <c r="E50" s="17" t="s">
        <v>229</v>
      </c>
      <c r="F50" s="18">
        <f>BP!F19/F18*365</f>
        <v>19.785565970614812</v>
      </c>
      <c r="G50" s="18">
        <f>BP!G19/G18*365</f>
        <v>15.118732202926504</v>
      </c>
      <c r="H50" s="18">
        <f>BP!H19/H18*365</f>
        <v>11.807756014007031</v>
      </c>
      <c r="I50" s="18">
        <f>BP!I19/I18*365</f>
        <v>13.553632656846844</v>
      </c>
      <c r="J50" s="18">
        <f>BP!J19/J18*365</f>
        <v>15.678305421613675</v>
      </c>
      <c r="K50" s="18">
        <f>BP!K19/K18*365</f>
        <v>12.513490881934784</v>
      </c>
      <c r="L50" s="18">
        <f>BP!L19/L18*365</f>
        <v>14.282534927444011</v>
      </c>
      <c r="M50" s="18">
        <f>BP!M19/M18*365</f>
        <v>14.436749043625063</v>
      </c>
      <c r="N50" s="18">
        <f>BP!N19/N18*365</f>
        <v>17.636121020617523</v>
      </c>
      <c r="O50" s="18">
        <f>BP!O19/O18*365</f>
        <v>12.692562464656213</v>
      </c>
      <c r="P50" s="18">
        <f>BP!P19/P18*365</f>
        <v>9.9915984605917494</v>
      </c>
      <c r="Q50" s="18">
        <f>BP!Q19/Q18*365</f>
        <v>10.758796444902833</v>
      </c>
      <c r="R50" s="18">
        <f>BP!R19/R18*365</f>
        <v>12.786863561346257</v>
      </c>
      <c r="S50" s="18">
        <f>BP!S19/S18*365</f>
        <v>10.975415504638672</v>
      </c>
      <c r="T50" s="18">
        <f>BP!T19/T18*365</f>
        <v>11.419035257896322</v>
      </c>
      <c r="U50" s="18">
        <f>BP!U19/U18*365</f>
        <v>9.8458591574831509</v>
      </c>
      <c r="V50" s="18">
        <f>BP!V19/V18*365</f>
        <v>13.837194416051476</v>
      </c>
      <c r="W50" s="18">
        <f>BP!W19/W18*365</f>
        <v>11.146064200101202</v>
      </c>
      <c r="X50" s="18">
        <f>BP!X19/X18*365</f>
        <v>10.714996584759922</v>
      </c>
      <c r="Y50" s="18">
        <f>BP!Y19/Y18*365</f>
        <v>11.386246673422882</v>
      </c>
      <c r="Z50" s="18">
        <f>BP!Z19/Z18*365</f>
        <v>15.612678995957118</v>
      </c>
      <c r="AA50" s="18">
        <f>BP!AA19/AA18*365</f>
        <v>10.517859050451644</v>
      </c>
      <c r="AB50" s="18">
        <f>BP!AB19/AB18*365</f>
        <v>10.753642744038309</v>
      </c>
      <c r="AC50" s="18">
        <f>BP!AC19/AC18*365</f>
        <v>12.856532829912798</v>
      </c>
      <c r="AD50" s="18">
        <f>BP!AD19/AD18*365</f>
        <v>14.123253853898264</v>
      </c>
      <c r="AE50" s="18">
        <f>BP!AE19/AE18*365</f>
        <v>13.66329817635004</v>
      </c>
      <c r="AF50" s="18">
        <f>BP!AF19/AF18*365</f>
        <v>12.079888716408053</v>
      </c>
    </row>
    <row r="52" spans="1:32" x14ac:dyDescent="0.3">
      <c r="A52" s="6" t="s">
        <v>307</v>
      </c>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spans="1:32" x14ac:dyDescent="0.3">
      <c r="A53" s="4" t="s">
        <v>308</v>
      </c>
      <c r="B53" s="8"/>
      <c r="C53" s="14">
        <f>BP!C11/BP!C15</f>
        <v>0.76744433739359119</v>
      </c>
      <c r="D53" s="14">
        <f>BP!D11/BP!D15</f>
        <v>0.72737043589613315</v>
      </c>
      <c r="E53" s="14">
        <f>BP!E11/BP!E15</f>
        <v>0.75092789794332959</v>
      </c>
      <c r="F53" s="14">
        <f>BP!F11/BP!F15</f>
        <v>0.72123777715092474</v>
      </c>
      <c r="G53" s="14">
        <f>BP!G11/BP!G15</f>
        <v>0.72067752027885967</v>
      </c>
      <c r="H53" s="14">
        <f>BP!H11/BP!H15</f>
        <v>0.67666245750771858</v>
      </c>
      <c r="I53" s="14">
        <f>BP!I11/BP!I15</f>
        <v>0.64904149372039022</v>
      </c>
      <c r="J53" s="14">
        <f>BP!J11/BP!J15</f>
        <v>0.6462250001330182</v>
      </c>
      <c r="K53" s="14">
        <f>BP!K11/BP!K15</f>
        <v>0.64910355438402512</v>
      </c>
      <c r="L53" s="14">
        <f>BP!L11/BP!L15</f>
        <v>0.66612141880266496</v>
      </c>
      <c r="M53" s="14">
        <f>BP!M11/BP!M15</f>
        <v>0.6779162831546206</v>
      </c>
      <c r="N53" s="14">
        <f>BP!N11/BP!N15</f>
        <v>0.69350168689174574</v>
      </c>
      <c r="O53" s="14">
        <f>BP!O11/BP!O15</f>
        <v>0.68809393256309204</v>
      </c>
      <c r="P53" s="14">
        <f>BP!P11/BP!P15</f>
        <v>0.70188873212589997</v>
      </c>
      <c r="Q53" s="14">
        <f>BP!Q11/BP!Q15</f>
        <v>0.68914703186377868</v>
      </c>
      <c r="R53" s="14">
        <f>BP!R11/BP!R15</f>
        <v>0.67366744090639552</v>
      </c>
      <c r="S53" s="14">
        <f>BP!S11/BP!S15</f>
        <v>0.65364636274004562</v>
      </c>
      <c r="T53" s="14">
        <f>BP!T11/BP!T15</f>
        <v>0.63995260055532477</v>
      </c>
      <c r="U53" s="14">
        <f>BP!U11/BP!U15</f>
        <v>0.64138819152908944</v>
      </c>
      <c r="V53" s="14">
        <f>BP!V11/BP!V15</f>
        <v>0.64963599271706363</v>
      </c>
      <c r="W53" s="14">
        <f>BP!W11/BP!W15</f>
        <v>0.64844517318348727</v>
      </c>
      <c r="X53" s="14">
        <f>BP!X11/BP!X15</f>
        <v>0.65026626362976192</v>
      </c>
      <c r="Y53" s="14">
        <f>BP!Y11/BP!Y15</f>
        <v>0.61542171312855765</v>
      </c>
      <c r="Z53" s="14">
        <f>BP!Z11/BP!Z15</f>
        <v>0.60511347543464822</v>
      </c>
      <c r="AA53" s="14">
        <f>BP!AA11/BP!AA15</f>
        <v>0.61513319742394179</v>
      </c>
      <c r="AB53" s="14">
        <f>BP!AB11/BP!AB15</f>
        <v>0.60432386163498142</v>
      </c>
      <c r="AC53" s="14">
        <f>BP!AC11/BP!AC15</f>
        <v>0.59415631265662305</v>
      </c>
      <c r="AD53" s="14">
        <f>BP!AD11/BP!AD15</f>
        <v>0.58957131008865893</v>
      </c>
      <c r="AE53" s="14">
        <f>BP!AE11/BP!AE15</f>
        <v>0.54700967029683434</v>
      </c>
      <c r="AF53" s="14">
        <f>BP!AF11/BP!AF15</f>
        <v>0.57891048247180887</v>
      </c>
    </row>
    <row r="54" spans="1:32" x14ac:dyDescent="0.3">
      <c r="A54" s="4" t="s">
        <v>309</v>
      </c>
      <c r="B54" s="8"/>
      <c r="C54" s="14">
        <f>DRE!C28/DRE!C7</f>
        <v>0.46996013264345526</v>
      </c>
      <c r="D54" s="14">
        <f>DRE!D28/DRE!D7</f>
        <v>0.45335413587654649</v>
      </c>
      <c r="E54" s="14">
        <f>DRE!E28/DRE!E7</f>
        <v>0.43470320244122629</v>
      </c>
      <c r="F54" s="14">
        <f>DRE!F28/DRE!F7</f>
        <v>0.47182444269103196</v>
      </c>
      <c r="G54" s="14">
        <f>DRE!G28/DRE!G7</f>
        <v>0.43056831581303512</v>
      </c>
      <c r="H54" s="14">
        <f>DRE!H28/DRE!H7</f>
        <v>0.42404647409050261</v>
      </c>
      <c r="I54" s="14">
        <f>DRE!I28/DRE!I7</f>
        <v>0.42478203789306329</v>
      </c>
      <c r="J54" s="14">
        <f>DRE!J28/DRE!J7</f>
        <v>0.44889021531078155</v>
      </c>
      <c r="K54" s="14">
        <f>DRE!K28/DRE!K7</f>
        <v>0.37960197574240406</v>
      </c>
      <c r="L54" s="14">
        <f>DRE!L28/DRE!L7</f>
        <v>0.38230567340849497</v>
      </c>
      <c r="M54" s="14">
        <f>DRE!M28/DRE!M7</f>
        <v>0.39594629066981923</v>
      </c>
      <c r="N54" s="14">
        <f>DRE!N28/DRE!N7</f>
        <v>0.4852980510078842</v>
      </c>
      <c r="O54" s="14">
        <f>DRE!O28/DRE!O7</f>
        <v>0.4024477338995931</v>
      </c>
      <c r="P54" s="14">
        <f>DRE!P28/DRE!P7</f>
        <v>0.40919577206977897</v>
      </c>
      <c r="Q54" s="14">
        <f>DRE!Q28/DRE!Q7</f>
        <v>0.46098681120103502</v>
      </c>
      <c r="R54" s="14">
        <f>DRE!R28/DRE!R7</f>
        <v>0.50239434196381505</v>
      </c>
      <c r="S54" s="14">
        <f>DRE!S28/DRE!S7</f>
        <v>0.42393956113230613</v>
      </c>
      <c r="T54" s="14">
        <f>DRE!T28/DRE!T7</f>
        <v>0.41650123770947228</v>
      </c>
      <c r="U54" s="14">
        <f>DRE!U28/DRE!U7</f>
        <v>0.41834370055122727</v>
      </c>
      <c r="V54" s="14">
        <f>DRE!V28/DRE!V7</f>
        <v>0.42501453385525012</v>
      </c>
      <c r="W54" s="14">
        <f>DRE!W28/DRE!W7</f>
        <v>0.39174307716606688</v>
      </c>
      <c r="X54" s="14">
        <f>DRE!X28/DRE!X7</f>
        <v>0.39434749997646279</v>
      </c>
      <c r="Y54" s="14">
        <f>DRE!Y28/DRE!Y7</f>
        <v>0.37655296043045783</v>
      </c>
      <c r="Z54" s="14">
        <f>DRE!Z28/DRE!Z7</f>
        <v>0.40613826381716395</v>
      </c>
      <c r="AA54" s="14">
        <f>DRE!AA28/DRE!AA7</f>
        <v>0.36262773052436448</v>
      </c>
      <c r="AB54" s="14">
        <f>DRE!AB28/DRE!AB7</f>
        <v>0.34588108888340513</v>
      </c>
      <c r="AC54" s="14">
        <f>DRE!AC28/DRE!AC7</f>
        <v>0.34775301822966148</v>
      </c>
      <c r="AD54" s="14">
        <f>DRE!AD28/DRE!AD7</f>
        <v>0.39534728177355088</v>
      </c>
      <c r="AE54" s="14">
        <f>DRE!AE28/DRE!AE7</f>
        <v>0.34432519763453268</v>
      </c>
      <c r="AF54" s="14">
        <f>DRE!AF28/DRE!AF7</f>
        <v>0.34325878041754665</v>
      </c>
    </row>
    <row r="55" spans="1:32" x14ac:dyDescent="0.3">
      <c r="A55" s="4" t="s">
        <v>310</v>
      </c>
      <c r="B55" s="8"/>
      <c r="C55" s="27">
        <f>DFC!C17</f>
        <v>1.4109124830680861</v>
      </c>
      <c r="D55" s="27">
        <f>DFC!D17</f>
        <v>1.4897982226025632</v>
      </c>
      <c r="E55" s="27">
        <f>DFC!E17</f>
        <v>1.6001442119810858</v>
      </c>
      <c r="F55" s="27">
        <f>DFC!F17</f>
        <v>1.5294760684413389</v>
      </c>
      <c r="G55" s="27">
        <f>DFC!G17</f>
        <v>1.3265260924101578</v>
      </c>
      <c r="H55" s="27">
        <f>DFC!H17</f>
        <v>0.96303370833923063</v>
      </c>
      <c r="I55" s="27">
        <f>DFC!I17</f>
        <v>0.9707884025674689</v>
      </c>
      <c r="J55" s="27">
        <f>DFC!J17</f>
        <v>1.1132277775449477</v>
      </c>
      <c r="K55" s="27">
        <f>DFC!K17</f>
        <v>1.2079217533417967</v>
      </c>
      <c r="L55" s="27">
        <f>DFC!L17</f>
        <v>1.4595787449279483</v>
      </c>
      <c r="M55" s="27">
        <f>DFC!M17</f>
        <v>1.5748081960114761</v>
      </c>
      <c r="N55" s="27">
        <f>DFC!N17</f>
        <v>1.5114033373809277</v>
      </c>
      <c r="O55" s="27">
        <f>DFC!O17</f>
        <v>1.1319490962033754</v>
      </c>
      <c r="P55" s="27">
        <f>DFC!P17</f>
        <v>1.4371391829390794</v>
      </c>
      <c r="Q55" s="27">
        <f>DFC!Q17</f>
        <v>1.2542919406436186</v>
      </c>
      <c r="R55" s="27">
        <f>DFC!R17</f>
        <v>1.0102323878841835</v>
      </c>
      <c r="S55" s="27">
        <f>DFC!S17</f>
        <v>0.7106003958399808</v>
      </c>
      <c r="T55" s="27">
        <f>DFC!T17</f>
        <v>1.0800540524530493</v>
      </c>
      <c r="U55" s="27">
        <f>DFC!U17</f>
        <v>0.80704005453701322</v>
      </c>
      <c r="V55" s="27">
        <f>DFC!V17</f>
        <v>0.94009502730230232</v>
      </c>
      <c r="W55" s="27">
        <f>DFC!W17</f>
        <v>1.015844480978968</v>
      </c>
      <c r="X55" s="27">
        <f>DFC!X17</f>
        <v>1.0740543652130545</v>
      </c>
      <c r="Y55" s="27">
        <f>DFC!Y17</f>
        <v>1.085652980480446</v>
      </c>
      <c r="Z55" s="27">
        <f>DFC!Z17</f>
        <v>1.0643760508528053</v>
      </c>
      <c r="AA55" s="27">
        <f>DFC!AA17</f>
        <v>0.92847319147333374</v>
      </c>
      <c r="AB55" s="27">
        <f>DFC!AB17</f>
        <v>1.0009757118469007</v>
      </c>
      <c r="AC55" s="27">
        <f>DFC!AC17</f>
        <v>1.1626861473029502</v>
      </c>
      <c r="AD55" s="27">
        <f>DFC!AD17</f>
        <v>1.0614948545789924</v>
      </c>
      <c r="AE55" s="27">
        <f>DFC!AE17</f>
        <v>1.1491303729343989</v>
      </c>
      <c r="AF55" s="27">
        <f>DFC!AF17</f>
        <v>1.1429296763465573</v>
      </c>
    </row>
    <row r="57" spans="1:32" x14ac:dyDescent="0.3">
      <c r="A57" s="6" t="s">
        <v>311</v>
      </c>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spans="1:32" x14ac:dyDescent="0.3">
      <c r="A58" s="3" t="s">
        <v>262</v>
      </c>
      <c r="B58" s="8"/>
      <c r="C58" s="19" t="s">
        <v>229</v>
      </c>
      <c r="D58" s="19" t="s">
        <v>229</v>
      </c>
      <c r="E58" s="19" t="s">
        <v>229</v>
      </c>
      <c r="F58" s="19" t="s">
        <v>229</v>
      </c>
      <c r="G58" s="20">
        <f>IFERROR(AH!G11/AH!G7,"")</f>
        <v>3.9430309587051684</v>
      </c>
      <c r="H58" s="20">
        <f>IFERROR(AH!H11/AH!H7,"")</f>
        <v>3.7059688345201889</v>
      </c>
      <c r="I58" s="20">
        <f>IFERROR(AH!I11/AH!I7,"")</f>
        <v>1.5036567564991405</v>
      </c>
      <c r="J58" s="20">
        <f>IFERROR(AH!J11/AH!J7,"")</f>
        <v>5.0222534981244991</v>
      </c>
      <c r="K58" s="20">
        <f>IFERROR(AH!K11/AH!K7,"")</f>
        <v>4.3197299137631608</v>
      </c>
      <c r="L58" s="20">
        <f>IFERROR(AH!L11/AH!L7,"")</f>
        <v>1.8577618804902274</v>
      </c>
      <c r="M58" s="20">
        <f>IFERROR(AH!M11/AH!M7,"")</f>
        <v>2.0571106647678068</v>
      </c>
      <c r="N58" s="20">
        <f>IFERROR(AH!N11/AH!N7,"")</f>
        <v>-2.1085939648308512</v>
      </c>
      <c r="O58" s="20">
        <f>IFERROR(AH!O11/AH!O7,"")</f>
        <v>6.1065033274122105E-2</v>
      </c>
      <c r="P58" s="20">
        <f>IFERROR(AH!P11/AH!P7,"")</f>
        <v>-1.7032838588582735</v>
      </c>
      <c r="Q58" s="20">
        <f>IFERROR(AH!Q11/AH!Q7,"")</f>
        <v>-2.1430556826654996</v>
      </c>
      <c r="R58" s="20">
        <f>IFERROR(AH!R11/AH!R7,"")</f>
        <v>-6.9989042583322103</v>
      </c>
      <c r="S58" s="20">
        <f>IFERROR(AH!S11/AH!S7,"")</f>
        <v>-3.4956243337359387</v>
      </c>
      <c r="T58" s="20">
        <f>IFERROR(AH!T11/AH!T7,"")</f>
        <v>5.787968908529435</v>
      </c>
      <c r="U58" s="20">
        <f>IFERROR(AH!U11/AH!U7,"")</f>
        <v>3.2171611042741719</v>
      </c>
      <c r="V58" s="20">
        <f>IFERROR(AH!V11/AH!V7,"")</f>
        <v>13.775695152221903</v>
      </c>
      <c r="W58" s="20">
        <f>IFERROR(AH!W11/AH!W7,"")</f>
        <v>3.6159354772066847</v>
      </c>
      <c r="X58" s="20">
        <f>IFERROR(AH!X11/AH!X7,"")</f>
        <v>2.5332017973314898</v>
      </c>
      <c r="Y58" s="20">
        <f>IFERROR(AH!Y11/AH!Y7,"")</f>
        <v>3.4498874638170207</v>
      </c>
      <c r="Z58" s="20">
        <f>IFERROR(AH!Z11/AH!Z7,"")</f>
        <v>3.2434863901595659</v>
      </c>
      <c r="AA58" s="20">
        <f>IFERROR(AH!AA11/AH!AA7,"")</f>
        <v>2.1692299455748891</v>
      </c>
      <c r="AB58" s="20">
        <f>IFERROR(AH!AB11/AH!AB7,"")</f>
        <v>2.8317294023787678</v>
      </c>
      <c r="AC58" s="20">
        <f>IFERROR(AH!AC11/AH!AC7,"")</f>
        <v>0.67866256335026132</v>
      </c>
      <c r="AD58" s="20">
        <f>IFERROR(AH!AD11/AH!AD7,"")</f>
        <v>1.7088958572392072</v>
      </c>
      <c r="AE58" s="20">
        <f>IFERROR(AH!AE11/AH!AE7,"")</f>
        <v>1.1256581266837404</v>
      </c>
      <c r="AF58" s="20">
        <f>IFERROR(AH!AF11/AH!AF7,"")</f>
        <v>0.82837335940397361</v>
      </c>
    </row>
    <row r="59" spans="1:32" x14ac:dyDescent="0.3">
      <c r="A59" s="3" t="s">
        <v>263</v>
      </c>
      <c r="B59" s="8"/>
      <c r="C59" s="19" t="s">
        <v>229</v>
      </c>
      <c r="D59" s="19" t="s">
        <v>229</v>
      </c>
      <c r="E59" s="19" t="s">
        <v>229</v>
      </c>
      <c r="F59" s="19" t="s">
        <v>229</v>
      </c>
      <c r="G59" s="20">
        <f>IFERROR(AH!G14/AH!G11,"")</f>
        <v>0.97572754524951844</v>
      </c>
      <c r="H59" s="20">
        <f>IFERROR(AH!H14/AH!H11,"")</f>
        <v>1.8009765516617031</v>
      </c>
      <c r="I59" s="20">
        <f>IFERROR(AH!I14/AH!I11,"")</f>
        <v>0.54925220731718349</v>
      </c>
      <c r="J59" s="20">
        <f>IFERROR(AH!J14/AH!J11,"")</f>
        <v>-7.0616031823402495E-2</v>
      </c>
      <c r="K59" s="20">
        <f>IFERROR(AH!K14/AH!K11,"")</f>
        <v>1.3460999057254606</v>
      </c>
      <c r="L59" s="20">
        <f>IFERROR(AH!L14/AH!L11,"")</f>
        <v>2.4365330027792198</v>
      </c>
      <c r="M59" s="20">
        <f>IFERROR(AH!M14/AH!M11,"")</f>
        <v>2.4910197764001012</v>
      </c>
      <c r="N59" s="20">
        <f>IFERROR(AH!N14/AH!N11,"")</f>
        <v>-0.35626718459287721</v>
      </c>
      <c r="O59" s="20">
        <f>IFERROR(AH!O14/AH!O11,"")</f>
        <v>-10.660551892940093</v>
      </c>
      <c r="P59" s="20">
        <f>IFERROR(AH!P14/AH!P11,"")</f>
        <v>-0.44583840594594787</v>
      </c>
      <c r="Q59" s="20">
        <f>IFERROR(AH!Q14/AH!Q11,"")</f>
        <v>0.27704426667138932</v>
      </c>
      <c r="R59" s="20">
        <f>IFERROR(AH!R14/AH!R11,"")</f>
        <v>7.0147637601132073</v>
      </c>
      <c r="S59" s="20">
        <f>IFERROR(AH!S14/AH!S11,"")</f>
        <v>1.4022066783483134</v>
      </c>
      <c r="T59" s="20">
        <f>IFERROR(AH!T14/AH!T11,"")</f>
        <v>0.20532706346899135</v>
      </c>
      <c r="U59" s="20">
        <f>IFERROR(AH!U14/AH!U11,"")</f>
        <v>0.79840691933515173</v>
      </c>
      <c r="V59" s="20">
        <f>IFERROR(AH!V14/AH!V11,"")</f>
        <v>9.2777671689579932</v>
      </c>
      <c r="W59" s="20">
        <f>IFERROR(AH!W14/AH!W11,"")</f>
        <v>1.4692761730204522</v>
      </c>
      <c r="X59" s="20">
        <f>IFERROR(AH!X14/AH!X11,"")</f>
        <v>1.0446450991405443</v>
      </c>
      <c r="Y59" s="20">
        <f>IFERROR(AH!Y14/AH!Y11,"")</f>
        <v>0.78928910978373967</v>
      </c>
      <c r="Z59" s="20">
        <f>IFERROR(AH!Z14/AH!Z11,"")</f>
        <v>1.9118246599338307</v>
      </c>
      <c r="AA59" s="20">
        <f>IFERROR(AH!AA14/AH!AA11,"")</f>
        <v>0.88180035165690451</v>
      </c>
      <c r="AB59" s="20">
        <f>IFERROR(AH!AB14/AH!AB11,"")</f>
        <v>1.0117303600923753</v>
      </c>
      <c r="AC59" s="20">
        <f>IFERROR(AH!AC14/AH!AC11,"")</f>
        <v>0.66645162461557328</v>
      </c>
      <c r="AD59" s="20">
        <f>IFERROR(AH!AD14/AH!AD11,"")</f>
        <v>0.97800444820650279</v>
      </c>
      <c r="AE59" s="20">
        <f>IFERROR(AH!AE14/AH!AE11,"")</f>
        <v>4.5416915991476667</v>
      </c>
      <c r="AF59" s="20">
        <f>IFERROR(AH!AF14/AH!AF11,"")</f>
        <v>0.79761992365710344</v>
      </c>
    </row>
    <row r="60" spans="1:32" x14ac:dyDescent="0.3">
      <c r="A60" s="3" t="s">
        <v>264</v>
      </c>
      <c r="B60" s="8"/>
      <c r="C60" s="19" t="s">
        <v>229</v>
      </c>
      <c r="D60" s="19" t="s">
        <v>229</v>
      </c>
      <c r="E60" s="19" t="s">
        <v>229</v>
      </c>
      <c r="F60" s="19" t="s">
        <v>229</v>
      </c>
      <c r="G60" s="20">
        <f t="shared" ref="G60:AF60" si="8">IFERROR(G58*G59,"")</f>
        <v>3.8473239181802494</v>
      </c>
      <c r="H60" s="20">
        <f t="shared" si="8"/>
        <v>6.6743629721599103</v>
      </c>
      <c r="I60" s="20">
        <f t="shared" si="8"/>
        <v>0.82588679255454966</v>
      </c>
      <c r="J60" s="20">
        <f t="shared" si="8"/>
        <v>-0.35465161284875413</v>
      </c>
      <c r="K60" s="20">
        <f t="shared" si="8"/>
        <v>5.814788029676043</v>
      </c>
      <c r="L60" s="20">
        <f t="shared" si="8"/>
        <v>4.5264981331196239</v>
      </c>
      <c r="M60" s="20">
        <f t="shared" si="8"/>
        <v>5.1243033481801659</v>
      </c>
      <c r="N60" s="20">
        <f t="shared" si="8"/>
        <v>0.7512228352998197</v>
      </c>
      <c r="O60" s="20">
        <f t="shared" si="8"/>
        <v>-0.65098695606289214</v>
      </c>
      <c r="P60" s="20">
        <f t="shared" si="8"/>
        <v>0.75938936050683548</v>
      </c>
      <c r="Q60" s="20">
        <f t="shared" si="8"/>
        <v>-0.59372129004001695</v>
      </c>
      <c r="R60" s="20">
        <f t="shared" si="8"/>
        <v>-49.095659951850791</v>
      </c>
      <c r="S60" s="20">
        <f t="shared" si="8"/>
        <v>-4.9015877857614063</v>
      </c>
      <c r="T60" s="20">
        <f t="shared" si="8"/>
        <v>1.1884266594381718</v>
      </c>
      <c r="U60" s="20">
        <f t="shared" si="8"/>
        <v>2.5686036862684163</v>
      </c>
      <c r="V60" s="20">
        <f t="shared" si="8"/>
        <v>127.80769221285816</v>
      </c>
      <c r="W60" s="20">
        <f t="shared" si="8"/>
        <v>5.3128078398391203</v>
      </c>
      <c r="X60" s="20">
        <f t="shared" si="8"/>
        <v>2.6462968427163589</v>
      </c>
      <c r="Y60" s="20">
        <f t="shared" si="8"/>
        <v>2.7229586051702195</v>
      </c>
      <c r="Z60" s="20">
        <f t="shared" si="8"/>
        <v>6.20097726486682</v>
      </c>
      <c r="AA60" s="20">
        <f t="shared" si="8"/>
        <v>1.912827728832625</v>
      </c>
      <c r="AB60" s="20">
        <f t="shared" si="8"/>
        <v>2.8649466079528372</v>
      </c>
      <c r="AC60" s="20">
        <f t="shared" si="8"/>
        <v>0.45229576791055109</v>
      </c>
      <c r="AD60" s="20">
        <f t="shared" si="8"/>
        <v>1.6713077499016094</v>
      </c>
      <c r="AE60" s="20">
        <f t="shared" si="8"/>
        <v>5.112392057471844</v>
      </c>
      <c r="AF60" s="20">
        <f t="shared" si="8"/>
        <v>0.66072709568737575</v>
      </c>
    </row>
    <row r="62" spans="1:32" x14ac:dyDescent="0.3">
      <c r="A62" s="8" t="s">
        <v>312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9"/>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313</v>
      </c>
    </row>
    <row r="2" spans="1:32" x14ac:dyDescent="0.3">
      <c r="A2" s="2" t="s">
        <v>314</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315</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4" t="s">
        <v>316</v>
      </c>
      <c r="B7" s="8" t="s">
        <v>317</v>
      </c>
      <c r="C7" s="9">
        <v>2256.8510000000001</v>
      </c>
      <c r="D7" s="9">
        <v>2501.1990000000001</v>
      </c>
      <c r="E7" s="9">
        <v>2621.25</v>
      </c>
      <c r="F7" s="9">
        <v>2671.9079999999999</v>
      </c>
      <c r="G7" s="9">
        <v>2702.7759999999998</v>
      </c>
      <c r="H7" s="9">
        <v>2839.67</v>
      </c>
      <c r="I7" s="9">
        <v>2933.4450000000002</v>
      </c>
      <c r="J7" s="9">
        <v>2979.5050000000001</v>
      </c>
      <c r="K7" s="9">
        <v>3170.9720000000002</v>
      </c>
      <c r="L7" s="9">
        <v>3234.643</v>
      </c>
      <c r="M7" s="9">
        <v>3257.6970000000001</v>
      </c>
      <c r="N7" s="9">
        <v>3308.788</v>
      </c>
      <c r="O7" s="9">
        <v>3350.424</v>
      </c>
      <c r="P7" s="9">
        <v>3537.8629999999998</v>
      </c>
      <c r="Q7" s="9">
        <v>3601.5650000000001</v>
      </c>
      <c r="R7" s="9">
        <v>3594.7910000000002</v>
      </c>
      <c r="S7" s="9">
        <v>3608.645</v>
      </c>
      <c r="T7" s="9">
        <v>3599.4479999999999</v>
      </c>
      <c r="U7" s="9">
        <v>3735.1329999999998</v>
      </c>
      <c r="V7" s="9">
        <v>3930.5569999999998</v>
      </c>
      <c r="W7" s="9">
        <v>4224.3149999999996</v>
      </c>
      <c r="X7" s="9">
        <v>4295.5600000000004</v>
      </c>
      <c r="Y7" s="9">
        <v>4322.4759999999997</v>
      </c>
      <c r="Z7" s="9">
        <v>4517.018</v>
      </c>
      <c r="AA7" s="9">
        <v>4617.098</v>
      </c>
      <c r="AB7" s="9">
        <v>4929.0029999999997</v>
      </c>
      <c r="AC7" s="9">
        <v>5071.7809999999999</v>
      </c>
      <c r="AD7" s="9">
        <v>5339.27</v>
      </c>
      <c r="AE7" s="9">
        <v>5245.2979999999998</v>
      </c>
      <c r="AF7" s="9">
        <v>5431.6670000000004</v>
      </c>
    </row>
    <row r="8" spans="1:32" x14ac:dyDescent="0.3">
      <c r="A8" s="4" t="s">
        <v>318</v>
      </c>
      <c r="B8" s="8" t="s">
        <v>317</v>
      </c>
      <c r="C8" s="9">
        <v>1233.3789999999999</v>
      </c>
      <c r="D8" s="9">
        <v>1319.087</v>
      </c>
      <c r="E8" s="9">
        <v>1428.04</v>
      </c>
      <c r="F8" s="9">
        <v>1562.5609999999999</v>
      </c>
      <c r="G8" s="9">
        <v>1723.4739999999999</v>
      </c>
      <c r="H8" s="9">
        <v>1892.537</v>
      </c>
      <c r="I8" s="9">
        <v>2019.0830000000001</v>
      </c>
      <c r="J8" s="9">
        <v>2137.1579999999999</v>
      </c>
      <c r="K8" s="9">
        <v>2343.674</v>
      </c>
      <c r="L8" s="9">
        <v>2400.48</v>
      </c>
      <c r="M8" s="9">
        <v>2432.239</v>
      </c>
      <c r="N8" s="9">
        <v>2523.4259999999999</v>
      </c>
      <c r="O8" s="9">
        <v>2561.8310000000001</v>
      </c>
      <c r="P8" s="9">
        <v>2457.2350000000001</v>
      </c>
      <c r="Q8" s="9">
        <v>2375.8139999999999</v>
      </c>
      <c r="R8" s="9">
        <v>2350.1350000000002</v>
      </c>
      <c r="S8" s="9">
        <v>2517.6410000000001</v>
      </c>
      <c r="T8" s="9">
        <v>2562.17</v>
      </c>
      <c r="U8" s="9">
        <v>2693.1460000000002</v>
      </c>
      <c r="V8" s="9">
        <v>2783.53</v>
      </c>
      <c r="W8" s="9">
        <v>2958.1930000000002</v>
      </c>
      <c r="X8" s="9">
        <v>3007.7719999999999</v>
      </c>
      <c r="Y8" s="9">
        <v>3133.4659999999999</v>
      </c>
      <c r="Z8" s="9">
        <v>3287.6039999999998</v>
      </c>
      <c r="AA8" s="9">
        <v>3404.6759999999999</v>
      </c>
      <c r="AB8" s="9">
        <v>3538.1750000000002</v>
      </c>
      <c r="AC8" s="9">
        <v>3699.0520000000001</v>
      </c>
      <c r="AD8" s="9">
        <v>3872.7429999999999</v>
      </c>
      <c r="AE8" s="9">
        <v>3998.4189999999999</v>
      </c>
      <c r="AF8" s="9">
        <v>4033.5149999999999</v>
      </c>
    </row>
    <row r="9" spans="1:32" x14ac:dyDescent="0.3">
      <c r="A9" s="4" t="s">
        <v>319</v>
      </c>
      <c r="B9" s="8" t="s">
        <v>317</v>
      </c>
      <c r="C9" s="9">
        <v>630.47199999999998</v>
      </c>
      <c r="D9" s="9">
        <v>677.13599999999997</v>
      </c>
      <c r="E9" s="9">
        <v>741.43399999999997</v>
      </c>
      <c r="F9" s="9">
        <v>746.39200000000005</v>
      </c>
      <c r="G9" s="9">
        <v>793.45299999999997</v>
      </c>
      <c r="H9" s="9">
        <v>785.36800000000005</v>
      </c>
      <c r="I9" s="9">
        <v>789.38400000000001</v>
      </c>
      <c r="J9" s="9">
        <v>788.52200000000005</v>
      </c>
      <c r="K9" s="9">
        <v>836.64700000000005</v>
      </c>
      <c r="L9" s="9">
        <v>860.88199999999995</v>
      </c>
      <c r="M9" s="9">
        <v>915.29700000000003</v>
      </c>
      <c r="N9" s="9">
        <v>964.15</v>
      </c>
      <c r="O9" s="9">
        <v>998.94799999999998</v>
      </c>
      <c r="P9" s="9">
        <v>1030.2339999999999</v>
      </c>
      <c r="Q9" s="9">
        <v>1023.9450000000001</v>
      </c>
      <c r="R9" s="9">
        <v>1016.846</v>
      </c>
      <c r="S9" s="9">
        <v>1070.192</v>
      </c>
      <c r="T9" s="9">
        <v>1077.4349999999999</v>
      </c>
      <c r="U9" s="9">
        <v>1142.8109999999999</v>
      </c>
      <c r="V9" s="9">
        <v>1156.0229999999999</v>
      </c>
      <c r="W9" s="9">
        <v>1165.008</v>
      </c>
      <c r="X9" s="9">
        <v>1204.145</v>
      </c>
      <c r="Y9" s="9">
        <v>1240.8920000000001</v>
      </c>
      <c r="Z9" s="9">
        <v>1229.771</v>
      </c>
      <c r="AA9" s="9">
        <v>1261.934</v>
      </c>
      <c r="AB9" s="9">
        <v>1306.7349999999999</v>
      </c>
      <c r="AC9" s="9">
        <v>1370.913</v>
      </c>
      <c r="AD9" s="9">
        <v>1417.9390000000001</v>
      </c>
      <c r="AE9" s="9">
        <v>1497.058</v>
      </c>
      <c r="AF9" s="9">
        <v>1584.29</v>
      </c>
    </row>
    <row r="10" spans="1:32" x14ac:dyDescent="0.3">
      <c r="A10" s="4" t="s">
        <v>320</v>
      </c>
      <c r="B10" s="8" t="s">
        <v>317</v>
      </c>
      <c r="C10" s="9">
        <v>319.60199999999998</v>
      </c>
      <c r="D10" s="9">
        <v>349.49400000000003</v>
      </c>
      <c r="E10" s="9">
        <v>382.30399999999997</v>
      </c>
      <c r="F10" s="9">
        <v>418.12099999999998</v>
      </c>
      <c r="G10" s="9">
        <v>483.66</v>
      </c>
      <c r="H10" s="9">
        <v>569.14</v>
      </c>
      <c r="I10" s="9">
        <v>634.89099999999996</v>
      </c>
      <c r="J10" s="9">
        <v>684.60900000000004</v>
      </c>
      <c r="K10" s="9">
        <v>762.41399999999999</v>
      </c>
      <c r="L10" s="9">
        <v>799.48</v>
      </c>
      <c r="M10" s="9">
        <v>834.00199999999995</v>
      </c>
      <c r="N10" s="9">
        <v>870.70500000000004</v>
      </c>
      <c r="O10" s="9">
        <v>916.75400000000002</v>
      </c>
      <c r="P10" s="9">
        <v>907.71900000000005</v>
      </c>
      <c r="Q10" s="9">
        <v>889.03700000000003</v>
      </c>
      <c r="R10" s="9">
        <v>856.71100000000001</v>
      </c>
      <c r="S10" s="9">
        <v>933.52300000000002</v>
      </c>
      <c r="T10" s="9">
        <v>919.27300000000002</v>
      </c>
      <c r="U10" s="9">
        <v>948.21600000000001</v>
      </c>
      <c r="V10" s="9">
        <v>962.71500000000003</v>
      </c>
      <c r="W10" s="9">
        <v>1022.924</v>
      </c>
      <c r="X10" s="9">
        <v>1051.8330000000001</v>
      </c>
      <c r="Y10" s="9">
        <v>1127.8689999999999</v>
      </c>
      <c r="Z10" s="9">
        <v>1212.1199999999999</v>
      </c>
      <c r="AA10" s="9">
        <v>1259.0930000000001</v>
      </c>
      <c r="AB10" s="9">
        <v>1305.2529999999999</v>
      </c>
      <c r="AC10" s="9">
        <v>1368.5609999999999</v>
      </c>
      <c r="AD10" s="9">
        <v>1420.81</v>
      </c>
      <c r="AE10" s="9">
        <v>1508.982</v>
      </c>
      <c r="AF10" s="9">
        <v>1510.4659999999999</v>
      </c>
    </row>
    <row r="11" spans="1:32" x14ac:dyDescent="0.3">
      <c r="A11" s="4" t="s">
        <v>321</v>
      </c>
      <c r="B11" s="8" t="s">
        <v>322</v>
      </c>
      <c r="C11" s="11">
        <f>DRE!C7-C7-C8-C9-C10</f>
        <v>80.688000000000216</v>
      </c>
      <c r="D11" s="11">
        <f>DRE!D7-D7-D8-D9-D10</f>
        <v>76.199999999999932</v>
      </c>
      <c r="E11" s="11">
        <f>DRE!E7-E7-E8-E9-E10</f>
        <v>71.876999999999839</v>
      </c>
      <c r="F11" s="11">
        <f>DRE!F7-F7-F8-F9-F10</f>
        <v>68.452000000000339</v>
      </c>
      <c r="G11" s="11">
        <f>DRE!G7-G7-G8-G9-G10</f>
        <v>64.328000000000031</v>
      </c>
      <c r="H11" s="11">
        <f>DRE!H7-H7-H8-H9-H10</f>
        <v>61.570999999999913</v>
      </c>
      <c r="I11" s="11">
        <f>DRE!I7-I7-I8-I9-I10</f>
        <v>58.833999999999492</v>
      </c>
      <c r="J11" s="11">
        <f>DRE!J7-J7-J8-J9-J10</f>
        <v>54.647999999999911</v>
      </c>
      <c r="K11" s="11">
        <f>DRE!K7-K7-K8-K9-K10</f>
        <v>49.574999999999932</v>
      </c>
      <c r="L11" s="11">
        <f>DRE!L7-L7-L8-L9-L10</f>
        <v>46.29200000000003</v>
      </c>
      <c r="M11" s="11">
        <f>DRE!M7-M7-M8-M9-M10</f>
        <v>44.231999999999516</v>
      </c>
      <c r="N11" s="11">
        <f>DRE!N7-N7-N8-N9-N10</f>
        <v>42.249000000000706</v>
      </c>
      <c r="O11" s="11">
        <f>DRE!O7-O7-O8-O9-O10</f>
        <v>39.809999999999718</v>
      </c>
      <c r="P11" s="11">
        <f>DRE!P7-P7-P8-P9-P10</f>
        <v>37.090000000000146</v>
      </c>
      <c r="Q11" s="11">
        <f>DRE!Q7-Q7-Q8-Q9-Q10</f>
        <v>35.227999999999497</v>
      </c>
      <c r="R11" s="11">
        <f>DRE!R7-R7-R8-R9-R10</f>
        <v>33.569999999999482</v>
      </c>
      <c r="S11" s="11">
        <f>DRE!S7-S7-S8-S9-S10</f>
        <v>31.502000000000066</v>
      </c>
      <c r="T11" s="11">
        <f>DRE!T7-T7-T8-T9-T10</f>
        <v>28.975000000000932</v>
      </c>
      <c r="U11" s="11">
        <f>DRE!U7-U7-U8-U9-U10</f>
        <v>22.361999999999739</v>
      </c>
      <c r="V11" s="11">
        <f>DRE!V7-V7-V8-V9-V10</f>
        <v>0</v>
      </c>
      <c r="W11" s="11">
        <f>DRE!W7-W7-W8-W9-W10</f>
        <v>0</v>
      </c>
      <c r="X11" s="11">
        <f>DRE!X7-X7-X8-X9-X10</f>
        <v>0</v>
      </c>
      <c r="Y11" s="11">
        <f>DRE!Y7-Y7-Y8-Y9-Y10</f>
        <v>0</v>
      </c>
      <c r="Z11" s="11">
        <f>DRE!Z7-Z7-Z8-Z9-Z10</f>
        <v>0</v>
      </c>
      <c r="AA11" s="11">
        <f>DRE!AA7-AA7-AA8-AA9-AA10</f>
        <v>0</v>
      </c>
      <c r="AB11" s="11">
        <f>DRE!AB7-AB7-AB8-AB9-AB10</f>
        <v>0</v>
      </c>
      <c r="AC11" s="11">
        <f>DRE!AC7-AC7-AC8-AC9-AC10</f>
        <v>0</v>
      </c>
      <c r="AD11" s="11">
        <f>DRE!AD7-AD7-AD8-AD9-AD10</f>
        <v>0</v>
      </c>
      <c r="AE11" s="11">
        <f>DRE!AE7-AE7-AE8-AE9-AE10</f>
        <v>0</v>
      </c>
      <c r="AF11" s="11">
        <f>DRE!AF7-AF7-AF8-AF9-AF10</f>
        <v>0</v>
      </c>
    </row>
    <row r="13" spans="1:32" x14ac:dyDescent="0.3">
      <c r="A13" s="6" t="s">
        <v>323</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row>
    <row r="14" spans="1:32" x14ac:dyDescent="0.3">
      <c r="A14" s="4" t="s">
        <v>316</v>
      </c>
      <c r="B14" s="8"/>
      <c r="C14" s="14">
        <f>C7/DRE!C7</f>
        <v>0.49919376101528162</v>
      </c>
      <c r="D14" s="14">
        <f>D7/DRE!D7</f>
        <v>0.50805201421213719</v>
      </c>
      <c r="E14" s="14">
        <f>E7/DRE!E7</f>
        <v>0.49977072987975951</v>
      </c>
      <c r="F14" s="14">
        <f>F7/DRE!F7</f>
        <v>0.48869506243696764</v>
      </c>
      <c r="G14" s="14">
        <f>G7/DRE!G7</f>
        <v>0.46860624121507199</v>
      </c>
      <c r="H14" s="14">
        <f>H7/DRE!H7</f>
        <v>0.46186368038181697</v>
      </c>
      <c r="I14" s="14">
        <f>I7/DRE!I7</f>
        <v>0.45581268800586489</v>
      </c>
      <c r="J14" s="14">
        <f>J7/DRE!J7</f>
        <v>0.44842064992064046</v>
      </c>
      <c r="K14" s="14">
        <f>K7/DRE!K7</f>
        <v>0.44267027320716956</v>
      </c>
      <c r="L14" s="14">
        <f>L7/DRE!L7</f>
        <v>0.44058039354777462</v>
      </c>
      <c r="M14" s="14">
        <f>M7/DRE!M7</f>
        <v>0.43531921768346143</v>
      </c>
      <c r="N14" s="14">
        <f>N7/DRE!N7</f>
        <v>0.42919334758275635</v>
      </c>
      <c r="O14" s="14">
        <f>O7/DRE!O7</f>
        <v>0.4258417922137247</v>
      </c>
      <c r="P14" s="14">
        <f>P7/DRE!P7</f>
        <v>0.44388963758608535</v>
      </c>
      <c r="Q14" s="14">
        <f>Q7/DRE!Q7</f>
        <v>0.45442237794566437</v>
      </c>
      <c r="R14" s="14">
        <f>R7/DRE!R7</f>
        <v>0.45781542737931091</v>
      </c>
      <c r="S14" s="14">
        <f>S7/DRE!S7</f>
        <v>0.44215446591148716</v>
      </c>
      <c r="T14" s="14">
        <f>T7/DRE!T7</f>
        <v>0.43963792219194087</v>
      </c>
      <c r="U14" s="14">
        <f>U7/DRE!U7</f>
        <v>0.43728379515570026</v>
      </c>
      <c r="V14" s="14">
        <f>V7/DRE!V7</f>
        <v>0.44499432514512621</v>
      </c>
      <c r="W14" s="14">
        <f>W7/DRE!W7</f>
        <v>0.45081287538258602</v>
      </c>
      <c r="X14" s="14">
        <f>X7/DRE!X7</f>
        <v>0.44935879263252271</v>
      </c>
      <c r="Y14" s="14">
        <f>Y7/DRE!Y7</f>
        <v>0.43995996621984401</v>
      </c>
      <c r="Z14" s="14">
        <f>Z7/DRE!Z7</f>
        <v>0.44083465272527345</v>
      </c>
      <c r="AA14" s="14">
        <f>AA7/DRE!AA7</f>
        <v>0.43793845677254084</v>
      </c>
      <c r="AB14" s="14">
        <f>AB7/DRE!AB7</f>
        <v>0.44488935358491788</v>
      </c>
      <c r="AC14" s="14">
        <f>AC7/DRE!AC7</f>
        <v>0.44062951578963094</v>
      </c>
      <c r="AD14" s="14">
        <f>AD7/DRE!AD7</f>
        <v>0.44306492817632614</v>
      </c>
      <c r="AE14" s="14">
        <f>AE7/DRE!AE7</f>
        <v>0.42819608584888663</v>
      </c>
      <c r="AF14" s="14">
        <f>AF7/DRE!AF7</f>
        <v>0.43245969844755605</v>
      </c>
    </row>
    <row r="15" spans="1:32" x14ac:dyDescent="0.3">
      <c r="A15" s="4" t="s">
        <v>318</v>
      </c>
      <c r="B15" s="8"/>
      <c r="C15" s="14">
        <f>C8/DRE!C7</f>
        <v>0.27281158648367437</v>
      </c>
      <c r="D15" s="14">
        <f>D8/DRE!D7</f>
        <v>0.26793742012172778</v>
      </c>
      <c r="E15" s="14">
        <f>E8/DRE!E7</f>
        <v>0.2722718523977079</v>
      </c>
      <c r="F15" s="14">
        <f>F8/DRE!F7</f>
        <v>0.28579421351954132</v>
      </c>
      <c r="G15" s="14">
        <f>G8/DRE!G7</f>
        <v>0.29881524513015695</v>
      </c>
      <c r="H15" s="14">
        <f>H8/DRE!H7</f>
        <v>0.30781538139247261</v>
      </c>
      <c r="I15" s="14">
        <f>I8/DRE!I7</f>
        <v>0.31373475539406592</v>
      </c>
      <c r="J15" s="14">
        <f>J8/DRE!J7</f>
        <v>0.3216459711741031</v>
      </c>
      <c r="K15" s="14">
        <f>K8/DRE!K7</f>
        <v>0.32717879876849743</v>
      </c>
      <c r="L15" s="14">
        <f>L8/DRE!L7</f>
        <v>0.32696171512700534</v>
      </c>
      <c r="M15" s="14">
        <f>M8/DRE!M7</f>
        <v>0.32501499639137849</v>
      </c>
      <c r="N15" s="14">
        <f>N8/DRE!N7</f>
        <v>0.32732156073987345</v>
      </c>
      <c r="O15" s="14">
        <f>O8/DRE!O7</f>
        <v>0.32561093891062104</v>
      </c>
      <c r="P15" s="14">
        <f>P8/DRE!P7</f>
        <v>0.30830508519234479</v>
      </c>
      <c r="Q15" s="14">
        <f>Q8/DRE!Q7</f>
        <v>0.29976497645790107</v>
      </c>
      <c r="R15" s="14">
        <f>R8/DRE!R7</f>
        <v>0.29930197873091285</v>
      </c>
      <c r="S15" s="14">
        <f>S8/DRE!S7</f>
        <v>0.30847761741924251</v>
      </c>
      <c r="T15" s="14">
        <f>T8/DRE!T7</f>
        <v>0.31294440011427455</v>
      </c>
      <c r="U15" s="14">
        <f>U8/DRE!U7</f>
        <v>0.31529509224661978</v>
      </c>
      <c r="V15" s="14">
        <f>V8/DRE!V7</f>
        <v>0.31513473888591703</v>
      </c>
      <c r="W15" s="14">
        <f>W8/DRE!W7</f>
        <v>0.31569414029650689</v>
      </c>
      <c r="X15" s="14">
        <f>X8/DRE!X7</f>
        <v>0.31464321169624171</v>
      </c>
      <c r="Y15" s="14">
        <f>Y8/DRE!Y7</f>
        <v>0.31893747831359381</v>
      </c>
      <c r="Z15" s="14">
        <f>Z8/DRE!Z7</f>
        <v>0.32085100560551666</v>
      </c>
      <c r="AA15" s="14">
        <f>AA8/DRE!AA7</f>
        <v>0.32293846768045797</v>
      </c>
      <c r="AB15" s="14">
        <f>AB8/DRE!AB7</f>
        <v>0.31935391165724936</v>
      </c>
      <c r="AC15" s="14">
        <f>AC8/DRE!AC7</f>
        <v>0.32136866549258852</v>
      </c>
      <c r="AD15" s="14">
        <f>AD8/DRE!AD7</f>
        <v>0.32136913831673047</v>
      </c>
      <c r="AE15" s="14">
        <f>AE8/DRE!AE7</f>
        <v>0.32640802588981971</v>
      </c>
      <c r="AF15" s="14">
        <f>AF8/DRE!AF7</f>
        <v>0.32114131455107497</v>
      </c>
    </row>
    <row r="16" spans="1:32" x14ac:dyDescent="0.3">
      <c r="A16" s="4" t="s">
        <v>319</v>
      </c>
      <c r="B16" s="8"/>
      <c r="C16" s="14">
        <f>C9/DRE!C7</f>
        <v>0.13945434984180463</v>
      </c>
      <c r="D16" s="14">
        <f>D9/DRE!D7</f>
        <v>0.13754215825911881</v>
      </c>
      <c r="E16" s="14">
        <f>E9/DRE!E7</f>
        <v>0.14136271295666938</v>
      </c>
      <c r="F16" s="14">
        <f>F9/DRE!F7</f>
        <v>0.1365159597719881</v>
      </c>
      <c r="G16" s="14">
        <f>G9/DRE!G7</f>
        <v>0.1375685694674004</v>
      </c>
      <c r="H16" s="14">
        <f>H9/DRE!H7</f>
        <v>0.12773771421823904</v>
      </c>
      <c r="I16" s="14">
        <f>I9/DRE!I7</f>
        <v>0.12265825434218866</v>
      </c>
      <c r="J16" s="14">
        <f>J9/DRE!J7</f>
        <v>0.11867392325796508</v>
      </c>
      <c r="K16" s="14">
        <f>K9/DRE!K7</f>
        <v>0.11679660245122278</v>
      </c>
      <c r="L16" s="14">
        <f>L9/DRE!L7</f>
        <v>0.11725798808653544</v>
      </c>
      <c r="M16" s="14">
        <f>M9/DRE!M7</f>
        <v>0.12230921844113164</v>
      </c>
      <c r="N16" s="14">
        <f>N9/DRE!N7</f>
        <v>0.12506294331093878</v>
      </c>
      <c r="O16" s="14">
        <f>O9/DRE!O7</f>
        <v>0.12696715599229108</v>
      </c>
      <c r="P16" s="14">
        <f>P9/DRE!P7</f>
        <v>0.12926170314929183</v>
      </c>
      <c r="Q16" s="14">
        <f>Q9/DRE!Q7</f>
        <v>0.12919481441694744</v>
      </c>
      <c r="R16" s="14">
        <f>R9/DRE!R7</f>
        <v>0.12950065416012857</v>
      </c>
      <c r="S16" s="14">
        <f>S9/DRE!S7</f>
        <v>0.13112682798744302</v>
      </c>
      <c r="T16" s="14">
        <f>T9/DRE!T7</f>
        <v>0.1315983130460209</v>
      </c>
      <c r="U16" s="14">
        <f>U9/DRE!U7</f>
        <v>0.13379248643239236</v>
      </c>
      <c r="V16" s="14">
        <f>V9/DRE!V7</f>
        <v>0.13087805996382809</v>
      </c>
      <c r="W16" s="14">
        <f>W9/DRE!W7</f>
        <v>0.12432799313586128</v>
      </c>
      <c r="X16" s="14">
        <f>X9/DRE!X7</f>
        <v>0.12596568162346447</v>
      </c>
      <c r="Y16" s="14">
        <f>Y9/DRE!Y7</f>
        <v>0.12630325822571942</v>
      </c>
      <c r="Z16" s="14">
        <f>Z9/DRE!Z7</f>
        <v>0.12001848824082884</v>
      </c>
      <c r="AA16" s="14">
        <f>AA9/DRE!AA7</f>
        <v>0.11969627426335754</v>
      </c>
      <c r="AB16" s="14">
        <f>AB9/DRE!AB7</f>
        <v>0.11794524966951483</v>
      </c>
      <c r="AC16" s="14">
        <f>AC9/DRE!AC7</f>
        <v>0.1191030786581105</v>
      </c>
      <c r="AD16" s="14">
        <f>AD9/DRE!AD7</f>
        <v>0.11766384565556934</v>
      </c>
      <c r="AE16" s="14">
        <f>AE9/DRE!AE7</f>
        <v>0.12221124059848698</v>
      </c>
      <c r="AF16" s="14">
        <f>AF9/DRE!AF7</f>
        <v>0.1261383615110202</v>
      </c>
    </row>
    <row r="17" spans="1:32" x14ac:dyDescent="0.3">
      <c r="A17" s="4" t="s">
        <v>320</v>
      </c>
      <c r="B17" s="8"/>
      <c r="C17" s="14">
        <f>C10/DRE!C7</f>
        <v>7.069289217941549E-2</v>
      </c>
      <c r="D17" s="14">
        <f>D10/DRE!D7</f>
        <v>7.0990405263658227E-2</v>
      </c>
      <c r="E17" s="14">
        <f>E10/DRE!E7</f>
        <v>7.2890548065217581E-2</v>
      </c>
      <c r="F17" s="14">
        <f>F10/DRE!F7</f>
        <v>7.6474814327891286E-2</v>
      </c>
      <c r="G17" s="14">
        <f>G10/DRE!G7</f>
        <v>8.3856780815754525E-2</v>
      </c>
      <c r="H17" s="14">
        <f>H10/DRE!H7</f>
        <v>9.2568888304805599E-2</v>
      </c>
      <c r="I17" s="14">
        <f>I10/DRE!I7</f>
        <v>9.8652394471596211E-2</v>
      </c>
      <c r="J17" s="14">
        <f>J10/DRE!J7</f>
        <v>0.10303483723689665</v>
      </c>
      <c r="K17" s="14">
        <f>K10/DRE!K7</f>
        <v>0.10643361520599078</v>
      </c>
      <c r="L17" s="14">
        <f>L10/DRE!L7</f>
        <v>0.10889461774717483</v>
      </c>
      <c r="M17" s="14">
        <f>M10/DRE!M7</f>
        <v>0.11144593809259799</v>
      </c>
      <c r="N17" s="14">
        <f>N10/DRE!N7</f>
        <v>0.11294189706534352</v>
      </c>
      <c r="O17" s="14">
        <f>O10/DRE!O7</f>
        <v>0.11652022740378561</v>
      </c>
      <c r="P17" s="14">
        <f>P10/DRE!P7</f>
        <v>0.11388995502087104</v>
      </c>
      <c r="Q17" s="14">
        <f>Q10/DRE!Q7</f>
        <v>0.11217298802650504</v>
      </c>
      <c r="R17" s="14">
        <f>R10/DRE!R7</f>
        <v>0.10910662472604299</v>
      </c>
      <c r="S17" s="14">
        <f>S10/DRE!S7</f>
        <v>0.114381260412451</v>
      </c>
      <c r="T17" s="14">
        <f>T10/DRE!T7</f>
        <v>0.1122803473330222</v>
      </c>
      <c r="U17" s="14">
        <f>U10/DRE!U7</f>
        <v>0.11101063633004701</v>
      </c>
      <c r="V17" s="14">
        <f>V10/DRE!V7</f>
        <v>0.10899287600512859</v>
      </c>
      <c r="W17" s="14">
        <f>W10/DRE!W7</f>
        <v>0.10916499118504573</v>
      </c>
      <c r="X17" s="14">
        <f>X10/DRE!X7</f>
        <v>0.11003231404777125</v>
      </c>
      <c r="Y17" s="14">
        <f>Y10/DRE!Y7</f>
        <v>0.1147992972408428</v>
      </c>
      <c r="Z17" s="14">
        <f>Z10/DRE!Z7</f>
        <v>0.11829585342838093</v>
      </c>
      <c r="AA17" s="14">
        <f>AA10/DRE!AA7</f>
        <v>0.1194268012836437</v>
      </c>
      <c r="AB17" s="14">
        <f>AB10/DRE!AB7</f>
        <v>0.11781148508831803</v>
      </c>
      <c r="AC17" s="14">
        <f>AC10/DRE!AC7</f>
        <v>0.11889874005966998</v>
      </c>
      <c r="AD17" s="14">
        <f>AD10/DRE!AD7</f>
        <v>0.11790208785137403</v>
      </c>
      <c r="AE17" s="14">
        <f>AE10/DRE!AE7</f>
        <v>0.12318464766280671</v>
      </c>
      <c r="AF17" s="14">
        <f>AF10/DRE!AF7</f>
        <v>0.12026062549034874</v>
      </c>
    </row>
    <row r="19" spans="1:32" x14ac:dyDescent="0.3">
      <c r="A19" s="6" t="s">
        <v>324</v>
      </c>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row>
    <row r="20" spans="1:32" x14ac:dyDescent="0.3">
      <c r="A20" s="4" t="s">
        <v>316</v>
      </c>
      <c r="B20" s="8"/>
      <c r="C20" s="16" t="s">
        <v>229</v>
      </c>
      <c r="D20" s="16" t="s">
        <v>229</v>
      </c>
      <c r="E20" s="16" t="s">
        <v>229</v>
      </c>
      <c r="F20" s="16" t="s">
        <v>229</v>
      </c>
      <c r="G20" s="14">
        <f t="shared" ref="G20:P23" si="0">IFERROR((G7-C7)/ABS(C7),"")</f>
        <v>0.19758725764350402</v>
      </c>
      <c r="H20" s="14">
        <f t="shared" si="0"/>
        <v>0.13532349884995157</v>
      </c>
      <c r="I20" s="14">
        <f t="shared" si="0"/>
        <v>0.11910157367668103</v>
      </c>
      <c r="J20" s="14">
        <f t="shared" si="0"/>
        <v>0.11512260152669936</v>
      </c>
      <c r="K20" s="14">
        <f t="shared" si="0"/>
        <v>0.17322782206146584</v>
      </c>
      <c r="L20" s="14">
        <f t="shared" si="0"/>
        <v>0.13909116200121843</v>
      </c>
      <c r="M20" s="14">
        <f t="shared" si="0"/>
        <v>0.11053624663152026</v>
      </c>
      <c r="N20" s="14">
        <f t="shared" si="0"/>
        <v>0.11051600853161847</v>
      </c>
      <c r="O20" s="14">
        <f t="shared" si="0"/>
        <v>5.659211118861969E-2</v>
      </c>
      <c r="P20" s="14">
        <f t="shared" si="0"/>
        <v>9.3741411339674827E-2</v>
      </c>
      <c r="Q20" s="14">
        <f t="shared" ref="Q20:Z23" si="1">IFERROR((Q7-M7)/ABS(M7),"")</f>
        <v>0.10555555043946688</v>
      </c>
      <c r="R20" s="14">
        <f t="shared" si="1"/>
        <v>8.6437390367711725E-2</v>
      </c>
      <c r="S20" s="14">
        <f t="shared" si="1"/>
        <v>7.7071140846651051E-2</v>
      </c>
      <c r="T20" s="14">
        <f t="shared" si="1"/>
        <v>1.7407401021464097E-2</v>
      </c>
      <c r="U20" s="14">
        <f t="shared" si="1"/>
        <v>3.7086100070385999E-2</v>
      </c>
      <c r="V20" s="14">
        <f t="shared" si="1"/>
        <v>9.3403482984128872E-2</v>
      </c>
      <c r="W20" s="14">
        <f t="shared" si="1"/>
        <v>0.17060974410062493</v>
      </c>
      <c r="X20" s="14">
        <f t="shared" si="1"/>
        <v>0.19339409820616954</v>
      </c>
      <c r="Y20" s="14">
        <f t="shared" si="1"/>
        <v>0.15724821579311898</v>
      </c>
      <c r="Z20" s="14">
        <f t="shared" si="1"/>
        <v>0.14920557060996706</v>
      </c>
      <c r="AA20" s="14">
        <f t="shared" ref="AA20:AJ23" si="2">IFERROR((AA7-W7)/ABS(W7),"")</f>
        <v>9.2981465634073307E-2</v>
      </c>
      <c r="AB20" s="14">
        <f t="shared" si="2"/>
        <v>0.14746459134548215</v>
      </c>
      <c r="AC20" s="14">
        <f t="shared" si="2"/>
        <v>0.17335087574806671</v>
      </c>
      <c r="AD20" s="14">
        <f t="shared" si="2"/>
        <v>0.18203425357171488</v>
      </c>
      <c r="AE20" s="14">
        <f t="shared" si="2"/>
        <v>0.13605949018192809</v>
      </c>
      <c r="AF20" s="14">
        <f t="shared" si="2"/>
        <v>0.10198086712464989</v>
      </c>
    </row>
    <row r="21" spans="1:32" x14ac:dyDescent="0.3">
      <c r="A21" s="4" t="s">
        <v>318</v>
      </c>
      <c r="B21" s="8"/>
      <c r="C21" s="16" t="s">
        <v>229</v>
      </c>
      <c r="D21" s="16" t="s">
        <v>229</v>
      </c>
      <c r="E21" s="16" t="s">
        <v>229</v>
      </c>
      <c r="F21" s="16" t="s">
        <v>229</v>
      </c>
      <c r="G21" s="14">
        <f t="shared" si="0"/>
        <v>0.39735961127925812</v>
      </c>
      <c r="H21" s="14">
        <f t="shared" si="0"/>
        <v>0.4347325081666335</v>
      </c>
      <c r="I21" s="14">
        <f t="shared" si="0"/>
        <v>0.41388406487213253</v>
      </c>
      <c r="J21" s="14">
        <f t="shared" si="0"/>
        <v>0.36772772390965858</v>
      </c>
      <c r="K21" s="14">
        <f t="shared" si="0"/>
        <v>0.35985457279889344</v>
      </c>
      <c r="L21" s="14">
        <f t="shared" si="0"/>
        <v>0.26839263908710898</v>
      </c>
      <c r="M21" s="14">
        <f t="shared" si="0"/>
        <v>0.20462556516993108</v>
      </c>
      <c r="N21" s="14">
        <f t="shared" si="0"/>
        <v>0.18073909369358748</v>
      </c>
      <c r="O21" s="14">
        <f t="shared" si="0"/>
        <v>9.3083338382386013E-2</v>
      </c>
      <c r="P21" s="14">
        <f t="shared" si="0"/>
        <v>2.3643188029060899E-2</v>
      </c>
      <c r="Q21" s="14">
        <f t="shared" si="1"/>
        <v>-2.3198789263719634E-2</v>
      </c>
      <c r="R21" s="14">
        <f t="shared" si="1"/>
        <v>-6.8672907388605695E-2</v>
      </c>
      <c r="S21" s="14">
        <f t="shared" si="1"/>
        <v>-1.7249381399475631E-2</v>
      </c>
      <c r="T21" s="14">
        <f t="shared" si="1"/>
        <v>4.2704503232291552E-2</v>
      </c>
      <c r="U21" s="14">
        <f t="shared" si="1"/>
        <v>0.13356769511417996</v>
      </c>
      <c r="V21" s="14">
        <f t="shared" si="1"/>
        <v>0.18441281032791731</v>
      </c>
      <c r="W21" s="14">
        <f t="shared" si="1"/>
        <v>0.17498602858787257</v>
      </c>
      <c r="X21" s="14">
        <f t="shared" si="1"/>
        <v>0.17391586038397133</v>
      </c>
      <c r="Y21" s="14">
        <f t="shared" si="1"/>
        <v>0.16349652042629687</v>
      </c>
      <c r="Z21" s="14">
        <f t="shared" si="1"/>
        <v>0.18109163544132795</v>
      </c>
      <c r="AA21" s="14">
        <f t="shared" si="2"/>
        <v>0.15093099064192217</v>
      </c>
      <c r="AB21" s="14">
        <f t="shared" si="2"/>
        <v>0.17634415108592016</v>
      </c>
      <c r="AC21" s="14">
        <f t="shared" si="2"/>
        <v>0.1804985278282899</v>
      </c>
      <c r="AD21" s="14">
        <f t="shared" si="2"/>
        <v>0.17798341892758379</v>
      </c>
      <c r="AE21" s="14">
        <f t="shared" si="2"/>
        <v>0.17439045594940603</v>
      </c>
      <c r="AF21" s="14">
        <f t="shared" si="2"/>
        <v>0.13999872815787789</v>
      </c>
    </row>
    <row r="22" spans="1:32" x14ac:dyDescent="0.3">
      <c r="A22" s="4" t="s">
        <v>319</v>
      </c>
      <c r="B22" s="8"/>
      <c r="C22" s="16" t="s">
        <v>229</v>
      </c>
      <c r="D22" s="16" t="s">
        <v>229</v>
      </c>
      <c r="E22" s="16" t="s">
        <v>229</v>
      </c>
      <c r="F22" s="16" t="s">
        <v>229</v>
      </c>
      <c r="G22" s="14">
        <f t="shared" si="0"/>
        <v>0.25850632541968555</v>
      </c>
      <c r="H22" s="14">
        <f t="shared" si="0"/>
        <v>0.15983790553153293</v>
      </c>
      <c r="I22" s="14">
        <f t="shared" si="0"/>
        <v>6.4671973500001409E-2</v>
      </c>
      <c r="J22" s="14">
        <f t="shared" si="0"/>
        <v>5.644487079175553E-2</v>
      </c>
      <c r="K22" s="14">
        <f t="shared" si="0"/>
        <v>5.443800704011463E-2</v>
      </c>
      <c r="L22" s="14">
        <f t="shared" si="0"/>
        <v>9.6151103686424572E-2</v>
      </c>
      <c r="M22" s="14">
        <f t="shared" si="0"/>
        <v>0.15950792009972334</v>
      </c>
      <c r="N22" s="14">
        <f t="shared" si="0"/>
        <v>0.222730627680648</v>
      </c>
      <c r="O22" s="14">
        <f t="shared" si="0"/>
        <v>0.19398981888418881</v>
      </c>
      <c r="P22" s="14">
        <f t="shared" si="0"/>
        <v>0.19671917870277225</v>
      </c>
      <c r="Q22" s="14">
        <f t="shared" si="1"/>
        <v>0.1187024539575679</v>
      </c>
      <c r="R22" s="14">
        <f t="shared" si="1"/>
        <v>5.4655395944614459E-2</v>
      </c>
      <c r="S22" s="14">
        <f t="shared" si="1"/>
        <v>7.1319027617053166E-2</v>
      </c>
      <c r="T22" s="14">
        <f t="shared" si="1"/>
        <v>4.5815804953049523E-2</v>
      </c>
      <c r="U22" s="14">
        <f t="shared" si="1"/>
        <v>0.11608631322971436</v>
      </c>
      <c r="V22" s="14">
        <f t="shared" si="1"/>
        <v>0.1368712666421463</v>
      </c>
      <c r="W22" s="14">
        <f t="shared" si="1"/>
        <v>8.85971862992809E-2</v>
      </c>
      <c r="X22" s="14">
        <f t="shared" si="1"/>
        <v>0.11760338210657724</v>
      </c>
      <c r="Y22" s="14">
        <f t="shared" si="1"/>
        <v>8.5824340157733991E-2</v>
      </c>
      <c r="Z22" s="14">
        <f t="shared" si="1"/>
        <v>6.3794578481570052E-2</v>
      </c>
      <c r="AA22" s="14">
        <f t="shared" si="2"/>
        <v>8.3197711947042355E-2</v>
      </c>
      <c r="AB22" s="14">
        <f t="shared" si="2"/>
        <v>8.5197380714116588E-2</v>
      </c>
      <c r="AC22" s="14">
        <f t="shared" si="2"/>
        <v>0.10478027096636931</v>
      </c>
      <c r="AD22" s="14">
        <f t="shared" si="2"/>
        <v>0.153010601160704</v>
      </c>
      <c r="AE22" s="14">
        <f t="shared" si="2"/>
        <v>0.18632036223764478</v>
      </c>
      <c r="AF22" s="14">
        <f t="shared" si="2"/>
        <v>0.21240343298373435</v>
      </c>
    </row>
    <row r="23" spans="1:32" x14ac:dyDescent="0.3">
      <c r="A23" s="4" t="s">
        <v>320</v>
      </c>
      <c r="B23" s="8"/>
      <c r="C23" s="16" t="s">
        <v>229</v>
      </c>
      <c r="D23" s="16" t="s">
        <v>229</v>
      </c>
      <c r="E23" s="16" t="s">
        <v>229</v>
      </c>
      <c r="F23" s="16" t="s">
        <v>229</v>
      </c>
      <c r="G23" s="14">
        <f t="shared" si="0"/>
        <v>0.51331969136613687</v>
      </c>
      <c r="H23" s="14">
        <f t="shared" si="0"/>
        <v>0.62846858601292133</v>
      </c>
      <c r="I23" s="14">
        <f t="shared" si="0"/>
        <v>0.66069672302670124</v>
      </c>
      <c r="J23" s="14">
        <f t="shared" si="0"/>
        <v>0.63734660540848243</v>
      </c>
      <c r="K23" s="14">
        <f t="shared" si="0"/>
        <v>0.57634288549807711</v>
      </c>
      <c r="L23" s="14">
        <f t="shared" si="0"/>
        <v>0.40471588712794748</v>
      </c>
      <c r="M23" s="14">
        <f t="shared" si="0"/>
        <v>0.3136144629550584</v>
      </c>
      <c r="N23" s="14">
        <f t="shared" si="0"/>
        <v>0.2718281530041235</v>
      </c>
      <c r="O23" s="14">
        <f t="shared" si="0"/>
        <v>0.20243594687400812</v>
      </c>
      <c r="P23" s="14">
        <f t="shared" si="0"/>
        <v>0.1353867513884025</v>
      </c>
      <c r="Q23" s="14">
        <f t="shared" si="1"/>
        <v>6.5989050385970402E-2</v>
      </c>
      <c r="R23" s="14">
        <f t="shared" si="1"/>
        <v>-1.6072033581982448E-2</v>
      </c>
      <c r="S23" s="14">
        <f t="shared" si="1"/>
        <v>1.8291711844180669E-2</v>
      </c>
      <c r="T23" s="14">
        <f t="shared" si="1"/>
        <v>1.2728608743454719E-2</v>
      </c>
      <c r="U23" s="14">
        <f t="shared" si="1"/>
        <v>6.6565283559626848E-2</v>
      </c>
      <c r="V23" s="14">
        <f t="shared" si="1"/>
        <v>0.1237336744829937</v>
      </c>
      <c r="W23" s="14">
        <f t="shared" si="1"/>
        <v>9.5767324425857697E-2</v>
      </c>
      <c r="X23" s="14">
        <f t="shared" si="1"/>
        <v>0.14420090658596527</v>
      </c>
      <c r="Y23" s="14">
        <f t="shared" si="1"/>
        <v>0.18946421490462079</v>
      </c>
      <c r="Z23" s="14">
        <f t="shared" si="1"/>
        <v>0.25906420903382604</v>
      </c>
      <c r="AA23" s="14">
        <f t="shared" si="2"/>
        <v>0.2308763896438055</v>
      </c>
      <c r="AB23" s="14">
        <f t="shared" si="2"/>
        <v>0.24093178289709472</v>
      </c>
      <c r="AC23" s="14">
        <f t="shared" si="2"/>
        <v>0.2134042162697973</v>
      </c>
      <c r="AD23" s="14">
        <f t="shared" si="2"/>
        <v>0.17216942216942224</v>
      </c>
      <c r="AE23" s="14">
        <f t="shared" si="2"/>
        <v>0.1984674682489696</v>
      </c>
      <c r="AF23" s="14">
        <f t="shared" si="2"/>
        <v>0.15722086063008472</v>
      </c>
    </row>
    <row r="25" spans="1:32" x14ac:dyDescent="0.3">
      <c r="A25" s="6" t="s">
        <v>325</v>
      </c>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row>
    <row r="26" spans="1:32" x14ac:dyDescent="0.3">
      <c r="A26" s="4" t="s">
        <v>316</v>
      </c>
      <c r="B26" s="8" t="s">
        <v>326</v>
      </c>
      <c r="C26" s="28">
        <v>66.632999999999996</v>
      </c>
      <c r="D26" s="28">
        <v>66.501000000000005</v>
      </c>
      <c r="E26" s="28">
        <v>67.114000000000004</v>
      </c>
      <c r="F26" s="28">
        <v>67.662000000000006</v>
      </c>
      <c r="G26" s="28">
        <v>69.968999999999994</v>
      </c>
      <c r="H26" s="28">
        <v>72.903999999999996</v>
      </c>
      <c r="I26" s="28">
        <v>73.081000000000003</v>
      </c>
      <c r="J26" s="28">
        <v>73.936000000000007</v>
      </c>
      <c r="K26" s="28">
        <v>74.384</v>
      </c>
      <c r="L26" s="28">
        <v>73.950999999999993</v>
      </c>
      <c r="M26" s="28">
        <v>74.024000000000001</v>
      </c>
      <c r="N26" s="28">
        <v>75.215000000000003</v>
      </c>
      <c r="O26" s="28">
        <v>74.578999999999994</v>
      </c>
      <c r="P26" s="28">
        <v>73.283000000000001</v>
      </c>
      <c r="Q26" s="28">
        <v>73.387</v>
      </c>
      <c r="R26" s="28">
        <v>74.296000000000006</v>
      </c>
      <c r="S26" s="28">
        <v>74.397999999999996</v>
      </c>
      <c r="T26" s="28">
        <v>75.570999999999998</v>
      </c>
      <c r="U26" s="28">
        <v>77.320999999999998</v>
      </c>
      <c r="V26" s="28">
        <v>80.128</v>
      </c>
      <c r="W26" s="28">
        <v>82.658000000000001</v>
      </c>
      <c r="X26" s="28">
        <v>84.108999999999995</v>
      </c>
      <c r="Y26" s="28">
        <v>84.802999999999997</v>
      </c>
      <c r="Z26" s="28">
        <v>89.625</v>
      </c>
      <c r="AA26" s="28"/>
      <c r="AB26" s="28"/>
      <c r="AC26" s="28"/>
      <c r="AD26" s="28"/>
      <c r="AE26" s="28"/>
      <c r="AF26" s="28"/>
    </row>
    <row r="27" spans="1:32" x14ac:dyDescent="0.3">
      <c r="A27" s="4" t="s">
        <v>318</v>
      </c>
      <c r="B27" s="8" t="s">
        <v>326</v>
      </c>
      <c r="C27" s="28">
        <v>42.542000000000002</v>
      </c>
      <c r="D27" s="28">
        <v>44.228999999999999</v>
      </c>
      <c r="E27" s="28">
        <v>47.354999999999997</v>
      </c>
      <c r="F27" s="28">
        <v>51.777999999999999</v>
      </c>
      <c r="G27" s="28">
        <v>58.734000000000002</v>
      </c>
      <c r="H27" s="28">
        <v>61.482999999999997</v>
      </c>
      <c r="I27" s="28">
        <v>62.241999999999997</v>
      </c>
      <c r="J27" s="28">
        <v>66.697999999999993</v>
      </c>
      <c r="K27" s="28">
        <v>68.507999999999996</v>
      </c>
      <c r="L27" s="28">
        <v>68.695999999999998</v>
      </c>
      <c r="M27" s="28">
        <v>70.5</v>
      </c>
      <c r="N27" s="28">
        <v>74.036000000000001</v>
      </c>
      <c r="O27" s="28">
        <v>73.733000000000004</v>
      </c>
      <c r="P27" s="28">
        <v>72.965999999999994</v>
      </c>
      <c r="Q27" s="28">
        <v>73.534000000000006</v>
      </c>
      <c r="R27" s="28">
        <v>76.728999999999999</v>
      </c>
      <c r="S27" s="28">
        <v>77.373000000000005</v>
      </c>
      <c r="T27" s="28">
        <v>79.807000000000002</v>
      </c>
      <c r="U27" s="28">
        <v>83.76</v>
      </c>
      <c r="V27" s="28">
        <v>88.813000000000002</v>
      </c>
      <c r="W27" s="28">
        <v>91.728999999999999</v>
      </c>
      <c r="X27" s="28">
        <v>93.963999999999999</v>
      </c>
      <c r="Y27" s="28">
        <v>96.131</v>
      </c>
      <c r="Z27" s="28">
        <v>101.133</v>
      </c>
      <c r="AA27" s="28"/>
      <c r="AB27" s="28"/>
      <c r="AC27" s="28"/>
      <c r="AD27" s="28"/>
      <c r="AE27" s="28"/>
      <c r="AF27" s="28"/>
    </row>
    <row r="28" spans="1:32" x14ac:dyDescent="0.3">
      <c r="A28" s="4" t="s">
        <v>319</v>
      </c>
      <c r="B28" s="8" t="s">
        <v>326</v>
      </c>
      <c r="C28" s="28">
        <v>27.547000000000001</v>
      </c>
      <c r="D28" s="28">
        <v>27.89</v>
      </c>
      <c r="E28" s="28">
        <v>29.38</v>
      </c>
      <c r="F28" s="28">
        <v>31.417000000000002</v>
      </c>
      <c r="G28" s="28">
        <v>34.317999999999998</v>
      </c>
      <c r="H28" s="28">
        <v>36.067999999999998</v>
      </c>
      <c r="I28" s="28">
        <v>36.323999999999998</v>
      </c>
      <c r="J28" s="28">
        <v>37.536999999999999</v>
      </c>
      <c r="K28" s="28">
        <v>37.893999999999998</v>
      </c>
      <c r="L28" s="28">
        <v>38.658000000000001</v>
      </c>
      <c r="M28" s="28">
        <v>38.988</v>
      </c>
      <c r="N28" s="28">
        <v>39.960999999999999</v>
      </c>
      <c r="O28" s="28">
        <v>39.61</v>
      </c>
      <c r="P28" s="28">
        <v>39.624000000000002</v>
      </c>
      <c r="Q28" s="28">
        <v>39.936</v>
      </c>
      <c r="R28" s="28">
        <v>41.698999999999998</v>
      </c>
      <c r="S28" s="28">
        <v>41.249000000000002</v>
      </c>
      <c r="T28" s="28">
        <v>42.466000000000001</v>
      </c>
      <c r="U28" s="28">
        <v>43.645000000000003</v>
      </c>
      <c r="V28" s="28">
        <v>45.997</v>
      </c>
      <c r="W28" s="28">
        <v>47.72</v>
      </c>
      <c r="X28" s="28">
        <v>49.25</v>
      </c>
      <c r="Y28" s="28">
        <v>49.182000000000002</v>
      </c>
      <c r="Z28" s="28">
        <v>53.326999999999998</v>
      </c>
      <c r="AA28" s="28"/>
      <c r="AB28" s="28"/>
      <c r="AC28" s="28"/>
      <c r="AD28" s="28"/>
      <c r="AE28" s="28"/>
      <c r="AF28" s="28"/>
    </row>
    <row r="29" spans="1:32" x14ac:dyDescent="0.3">
      <c r="A29" s="4" t="s">
        <v>320</v>
      </c>
      <c r="B29" s="8" t="s">
        <v>326</v>
      </c>
      <c r="C29" s="28">
        <v>12.141</v>
      </c>
      <c r="D29" s="28">
        <v>12.942</v>
      </c>
      <c r="E29" s="28">
        <v>14.484999999999999</v>
      </c>
      <c r="F29" s="28">
        <v>16.233000000000001</v>
      </c>
      <c r="G29" s="28">
        <v>19.835000000000001</v>
      </c>
      <c r="H29" s="28">
        <v>22.492000000000001</v>
      </c>
      <c r="I29" s="28">
        <v>23.504000000000001</v>
      </c>
      <c r="J29" s="28">
        <v>25.492000000000001</v>
      </c>
      <c r="K29" s="28">
        <v>26.853000000000002</v>
      </c>
      <c r="L29" s="28">
        <v>27.875</v>
      </c>
      <c r="M29" s="28">
        <v>30.050999999999998</v>
      </c>
      <c r="N29" s="28">
        <v>32.631999999999998</v>
      </c>
      <c r="O29" s="28">
        <v>33.719000000000001</v>
      </c>
      <c r="P29" s="28">
        <v>34.798999999999999</v>
      </c>
      <c r="Q29" s="28">
        <v>36.228000000000002</v>
      </c>
      <c r="R29" s="28">
        <v>38.023000000000003</v>
      </c>
      <c r="S29" s="28">
        <v>39.478000000000002</v>
      </c>
      <c r="T29" s="28">
        <v>40.545999999999999</v>
      </c>
      <c r="U29" s="28">
        <v>42.427</v>
      </c>
      <c r="V29" s="28">
        <v>45.338000000000001</v>
      </c>
      <c r="W29" s="28">
        <v>47.494999999999997</v>
      </c>
      <c r="X29" s="28">
        <v>50.323999999999998</v>
      </c>
      <c r="Y29" s="28">
        <v>52.603999999999999</v>
      </c>
      <c r="Z29" s="28">
        <v>57.540999999999997</v>
      </c>
      <c r="AA29" s="28"/>
      <c r="AB29" s="28"/>
      <c r="AC29" s="28"/>
      <c r="AD29" s="28"/>
      <c r="AE29" s="28"/>
      <c r="AF29" s="28"/>
    </row>
    <row r="30" spans="1:32" x14ac:dyDescent="0.3">
      <c r="A30" s="3" t="s">
        <v>327</v>
      </c>
      <c r="B30" s="8"/>
      <c r="C30" s="29">
        <f t="shared" ref="C30:AF30" si="3">IF(COUNT(C26,C27,C28,C29)=4,C26+C27+C28+C29,"")</f>
        <v>148.863</v>
      </c>
      <c r="D30" s="29">
        <f t="shared" si="3"/>
        <v>151.56200000000001</v>
      </c>
      <c r="E30" s="29">
        <f t="shared" si="3"/>
        <v>158.334</v>
      </c>
      <c r="F30" s="29">
        <f t="shared" si="3"/>
        <v>167.09</v>
      </c>
      <c r="G30" s="29">
        <f t="shared" si="3"/>
        <v>182.85600000000002</v>
      </c>
      <c r="H30" s="29">
        <f t="shared" si="3"/>
        <v>192.94699999999997</v>
      </c>
      <c r="I30" s="29">
        <f t="shared" si="3"/>
        <v>195.15099999999998</v>
      </c>
      <c r="J30" s="29">
        <f t="shared" si="3"/>
        <v>203.66300000000001</v>
      </c>
      <c r="K30" s="29">
        <f t="shared" si="3"/>
        <v>207.63900000000001</v>
      </c>
      <c r="L30" s="29">
        <f t="shared" si="3"/>
        <v>209.18</v>
      </c>
      <c r="M30" s="29">
        <f t="shared" si="3"/>
        <v>213.56299999999999</v>
      </c>
      <c r="N30" s="29">
        <f t="shared" si="3"/>
        <v>221.84399999999999</v>
      </c>
      <c r="O30" s="29">
        <f t="shared" si="3"/>
        <v>221.64100000000002</v>
      </c>
      <c r="P30" s="29">
        <f t="shared" si="3"/>
        <v>220.672</v>
      </c>
      <c r="Q30" s="29">
        <f t="shared" si="3"/>
        <v>223.08500000000001</v>
      </c>
      <c r="R30" s="29">
        <f t="shared" si="3"/>
        <v>230.74699999999999</v>
      </c>
      <c r="S30" s="29">
        <f t="shared" si="3"/>
        <v>232.49800000000002</v>
      </c>
      <c r="T30" s="29">
        <f t="shared" si="3"/>
        <v>238.39</v>
      </c>
      <c r="U30" s="29">
        <f t="shared" si="3"/>
        <v>247.15300000000002</v>
      </c>
      <c r="V30" s="29">
        <f t="shared" si="3"/>
        <v>260.27600000000001</v>
      </c>
      <c r="W30" s="29">
        <f t="shared" si="3"/>
        <v>269.60199999999998</v>
      </c>
      <c r="X30" s="29">
        <f t="shared" si="3"/>
        <v>277.64699999999999</v>
      </c>
      <c r="Y30" s="29">
        <f t="shared" si="3"/>
        <v>282.71999999999997</v>
      </c>
      <c r="Z30" s="29">
        <f t="shared" si="3"/>
        <v>301.62599999999998</v>
      </c>
      <c r="AA30" s="29" t="str">
        <f t="shared" si="3"/>
        <v/>
      </c>
      <c r="AB30" s="29" t="str">
        <f t="shared" si="3"/>
        <v/>
      </c>
      <c r="AC30" s="29" t="str">
        <f t="shared" si="3"/>
        <v/>
      </c>
      <c r="AD30" s="29" t="str">
        <f t="shared" si="3"/>
        <v/>
      </c>
      <c r="AE30" s="29" t="str">
        <f t="shared" si="3"/>
        <v/>
      </c>
      <c r="AF30" s="29" t="str">
        <f t="shared" si="3"/>
        <v/>
      </c>
    </row>
    <row r="31" spans="1:32" x14ac:dyDescent="0.3">
      <c r="A31" s="3" t="s">
        <v>328</v>
      </c>
      <c r="B31" s="8"/>
      <c r="C31" s="30" t="s">
        <v>229</v>
      </c>
      <c r="D31" s="29">
        <f t="shared" ref="D31:AF31" si="4">IFERROR(IF(D30="","",D30-C30),"")</f>
        <v>2.6990000000000123</v>
      </c>
      <c r="E31" s="29">
        <f t="shared" si="4"/>
        <v>6.7719999999999914</v>
      </c>
      <c r="F31" s="29">
        <f t="shared" si="4"/>
        <v>8.7560000000000002</v>
      </c>
      <c r="G31" s="29">
        <f t="shared" si="4"/>
        <v>15.76600000000002</v>
      </c>
      <c r="H31" s="29">
        <f t="shared" si="4"/>
        <v>10.090999999999951</v>
      </c>
      <c r="I31" s="29">
        <f t="shared" si="4"/>
        <v>2.2040000000000077</v>
      </c>
      <c r="J31" s="29">
        <f t="shared" si="4"/>
        <v>8.5120000000000289</v>
      </c>
      <c r="K31" s="29">
        <f t="shared" si="4"/>
        <v>3.9759999999999991</v>
      </c>
      <c r="L31" s="29">
        <f t="shared" si="4"/>
        <v>1.5409999999999968</v>
      </c>
      <c r="M31" s="29">
        <f t="shared" si="4"/>
        <v>4.3829999999999814</v>
      </c>
      <c r="N31" s="29">
        <f t="shared" si="4"/>
        <v>8.2810000000000059</v>
      </c>
      <c r="O31" s="29">
        <f t="shared" si="4"/>
        <v>-0.20299999999997453</v>
      </c>
      <c r="P31" s="29">
        <f t="shared" si="4"/>
        <v>-0.96900000000002251</v>
      </c>
      <c r="Q31" s="29">
        <f t="shared" si="4"/>
        <v>2.4130000000000109</v>
      </c>
      <c r="R31" s="29">
        <f t="shared" si="4"/>
        <v>7.6619999999999777</v>
      </c>
      <c r="S31" s="29">
        <f t="shared" si="4"/>
        <v>1.7510000000000332</v>
      </c>
      <c r="T31" s="29">
        <f t="shared" si="4"/>
        <v>5.8919999999999675</v>
      </c>
      <c r="U31" s="29">
        <f t="shared" si="4"/>
        <v>8.7630000000000337</v>
      </c>
      <c r="V31" s="29">
        <f t="shared" si="4"/>
        <v>13.12299999999999</v>
      </c>
      <c r="W31" s="29">
        <f t="shared" si="4"/>
        <v>9.325999999999965</v>
      </c>
      <c r="X31" s="29">
        <f t="shared" si="4"/>
        <v>8.0450000000000159</v>
      </c>
      <c r="Y31" s="29">
        <f t="shared" si="4"/>
        <v>5.0729999999999791</v>
      </c>
      <c r="Z31" s="29">
        <f t="shared" si="4"/>
        <v>18.906000000000006</v>
      </c>
      <c r="AA31" s="29" t="str">
        <f t="shared" si="4"/>
        <v/>
      </c>
      <c r="AB31" s="29" t="str">
        <f t="shared" si="4"/>
        <v/>
      </c>
      <c r="AC31" s="29" t="str">
        <f t="shared" si="4"/>
        <v/>
      </c>
      <c r="AD31" s="29" t="str">
        <f t="shared" si="4"/>
        <v/>
      </c>
      <c r="AE31" s="29" t="str">
        <f t="shared" si="4"/>
        <v/>
      </c>
      <c r="AF31" s="29" t="str">
        <f t="shared" si="4"/>
        <v/>
      </c>
    </row>
    <row r="33" spans="1:32" x14ac:dyDescent="0.3">
      <c r="A33" s="6" t="s">
        <v>329</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x14ac:dyDescent="0.3">
      <c r="A34" s="4" t="s">
        <v>316</v>
      </c>
      <c r="B34" s="8"/>
      <c r="C34" s="31" t="s">
        <v>229</v>
      </c>
      <c r="D34" s="32">
        <f t="shared" ref="D34:AF34" si="5">IFERROR(D7/AVERAGE(D26,C26)/3,"")</f>
        <v>12.5247194555861</v>
      </c>
      <c r="E34" s="32">
        <f t="shared" si="5"/>
        <v>13.078621412266585</v>
      </c>
      <c r="F34" s="32">
        <f t="shared" si="5"/>
        <v>13.216537068914347</v>
      </c>
      <c r="G34" s="32">
        <f t="shared" si="5"/>
        <v>13.091895478973969</v>
      </c>
      <c r="H34" s="32">
        <f t="shared" si="5"/>
        <v>13.250322547530558</v>
      </c>
      <c r="I34" s="32">
        <f t="shared" si="5"/>
        <v>13.396102339281432</v>
      </c>
      <c r="J34" s="32">
        <f t="shared" si="5"/>
        <v>13.510931842349299</v>
      </c>
      <c r="K34" s="32">
        <f t="shared" si="5"/>
        <v>14.252840704782455</v>
      </c>
      <c r="L34" s="32">
        <f t="shared" si="5"/>
        <v>14.537558004966238</v>
      </c>
      <c r="M34" s="32">
        <f t="shared" si="5"/>
        <v>14.676789998310527</v>
      </c>
      <c r="N34" s="32">
        <f t="shared" si="5"/>
        <v>14.780711922933461</v>
      </c>
      <c r="O34" s="32">
        <f t="shared" si="5"/>
        <v>14.911251451994074</v>
      </c>
      <c r="P34" s="32">
        <f t="shared" si="5"/>
        <v>15.951193229723209</v>
      </c>
      <c r="Q34" s="32">
        <f t="shared" si="5"/>
        <v>16.37037794595577</v>
      </c>
      <c r="R34" s="32">
        <f t="shared" si="5"/>
        <v>16.227509823969811</v>
      </c>
      <c r="S34" s="32">
        <f t="shared" si="5"/>
        <v>16.179289906340088</v>
      </c>
      <c r="T34" s="32">
        <f t="shared" si="5"/>
        <v>16.000853509725342</v>
      </c>
      <c r="U34" s="32">
        <f t="shared" si="5"/>
        <v>16.286585738080912</v>
      </c>
      <c r="V34" s="32">
        <f t="shared" si="5"/>
        <v>16.642667361071414</v>
      </c>
      <c r="W34" s="32">
        <f t="shared" si="5"/>
        <v>17.300074945019841</v>
      </c>
      <c r="X34" s="32">
        <f t="shared" si="5"/>
        <v>17.171902514686163</v>
      </c>
      <c r="Y34" s="32">
        <f t="shared" si="5"/>
        <v>17.060070727163652</v>
      </c>
      <c r="Z34" s="32">
        <f t="shared" si="5"/>
        <v>17.264116617362657</v>
      </c>
      <c r="AA34" s="32">
        <f t="shared" si="5"/>
        <v>17.171912598791259</v>
      </c>
      <c r="AB34" s="32" t="str">
        <f t="shared" si="5"/>
        <v/>
      </c>
      <c r="AC34" s="32" t="str">
        <f t="shared" si="5"/>
        <v/>
      </c>
      <c r="AD34" s="32" t="str">
        <f t="shared" si="5"/>
        <v/>
      </c>
      <c r="AE34" s="32" t="str">
        <f t="shared" si="5"/>
        <v/>
      </c>
      <c r="AF34" s="32" t="str">
        <f t="shared" si="5"/>
        <v/>
      </c>
    </row>
    <row r="35" spans="1:32" x14ac:dyDescent="0.3">
      <c r="A35" s="4" t="s">
        <v>318</v>
      </c>
      <c r="B35" s="8"/>
      <c r="C35" s="31" t="s">
        <v>229</v>
      </c>
      <c r="D35" s="32">
        <f t="shared" ref="D35:AF35" si="6">IFERROR(D8/AVERAGE(D27,C27)/3,"")</f>
        <v>10.13462255054492</v>
      </c>
      <c r="E35" s="32">
        <f t="shared" si="6"/>
        <v>10.395119962730025</v>
      </c>
      <c r="F35" s="32">
        <f t="shared" si="6"/>
        <v>10.508179247408364</v>
      </c>
      <c r="G35" s="32">
        <f t="shared" si="6"/>
        <v>10.396904106944644</v>
      </c>
      <c r="H35" s="32">
        <f t="shared" si="6"/>
        <v>10.495115776748159</v>
      </c>
      <c r="I35" s="32">
        <f t="shared" si="6"/>
        <v>10.879412675961476</v>
      </c>
      <c r="J35" s="32">
        <f t="shared" si="6"/>
        <v>11.049883666821778</v>
      </c>
      <c r="K35" s="32">
        <f t="shared" si="6"/>
        <v>11.556065066145981</v>
      </c>
      <c r="L35" s="32">
        <f t="shared" si="6"/>
        <v>11.663799889216058</v>
      </c>
      <c r="M35" s="32">
        <f t="shared" si="6"/>
        <v>11.648988955621329</v>
      </c>
      <c r="N35" s="32">
        <f t="shared" si="6"/>
        <v>11.639204073725578</v>
      </c>
      <c r="O35" s="32">
        <f t="shared" si="6"/>
        <v>11.557818847886454</v>
      </c>
      <c r="P35" s="32">
        <f t="shared" si="6"/>
        <v>11.166788230776397</v>
      </c>
      <c r="Q35" s="32">
        <f t="shared" si="6"/>
        <v>10.811440273037542</v>
      </c>
      <c r="R35" s="32">
        <f t="shared" si="6"/>
        <v>10.426762853574511</v>
      </c>
      <c r="S35" s="32">
        <f t="shared" si="6"/>
        <v>10.891664828057607</v>
      </c>
      <c r="T35" s="32">
        <f t="shared" si="6"/>
        <v>10.867243500021209</v>
      </c>
      <c r="U35" s="32">
        <f t="shared" si="6"/>
        <v>10.976729209844692</v>
      </c>
      <c r="V35" s="32">
        <f t="shared" si="6"/>
        <v>10.753053297251986</v>
      </c>
      <c r="W35" s="32">
        <f t="shared" si="6"/>
        <v>10.9233788629054</v>
      </c>
      <c r="X35" s="32">
        <f t="shared" si="6"/>
        <v>10.79836791550211</v>
      </c>
      <c r="Y35" s="32">
        <f t="shared" si="6"/>
        <v>10.989122982368464</v>
      </c>
      <c r="Z35" s="32">
        <f t="shared" si="6"/>
        <v>11.110674020601833</v>
      </c>
      <c r="AA35" s="32">
        <f t="shared" si="6"/>
        <v>11.221777263603373</v>
      </c>
      <c r="AB35" s="32" t="str">
        <f t="shared" si="6"/>
        <v/>
      </c>
      <c r="AC35" s="32" t="str">
        <f t="shared" si="6"/>
        <v/>
      </c>
      <c r="AD35" s="32" t="str">
        <f t="shared" si="6"/>
        <v/>
      </c>
      <c r="AE35" s="32" t="str">
        <f t="shared" si="6"/>
        <v/>
      </c>
      <c r="AF35" s="32" t="str">
        <f t="shared" si="6"/>
        <v/>
      </c>
    </row>
    <row r="36" spans="1:32" x14ac:dyDescent="0.3">
      <c r="A36" s="4" t="s">
        <v>319</v>
      </c>
      <c r="B36" s="8"/>
      <c r="C36" s="31" t="s">
        <v>229</v>
      </c>
      <c r="D36" s="32">
        <f t="shared" ref="D36:AF36" si="7">IFERROR(D9/AVERAGE(D28,C28)/3,"")</f>
        <v>8.1430091815935199</v>
      </c>
      <c r="E36" s="32">
        <f t="shared" si="7"/>
        <v>8.6308596705663234</v>
      </c>
      <c r="F36" s="32">
        <f t="shared" si="7"/>
        <v>8.1845266487929784</v>
      </c>
      <c r="G36" s="32">
        <f t="shared" si="7"/>
        <v>8.0469866382698196</v>
      </c>
      <c r="H36" s="32">
        <f t="shared" si="7"/>
        <v>7.4386762519061564</v>
      </c>
      <c r="I36" s="32">
        <f t="shared" si="7"/>
        <v>7.2695325450326003</v>
      </c>
      <c r="J36" s="32">
        <f t="shared" si="7"/>
        <v>7.1171705410613653</v>
      </c>
      <c r="K36" s="32">
        <f t="shared" si="7"/>
        <v>7.3943692469497515</v>
      </c>
      <c r="L36" s="32">
        <f t="shared" si="7"/>
        <v>7.4971435538370441</v>
      </c>
      <c r="M36" s="32">
        <f t="shared" si="7"/>
        <v>7.8587177703938389</v>
      </c>
      <c r="N36" s="32">
        <f t="shared" si="7"/>
        <v>8.1415428525588247</v>
      </c>
      <c r="O36" s="32">
        <f t="shared" si="7"/>
        <v>8.369447830658574</v>
      </c>
      <c r="P36" s="32">
        <f t="shared" si="7"/>
        <v>8.6682821347737917</v>
      </c>
      <c r="Q36" s="32">
        <f t="shared" si="7"/>
        <v>8.5800653594771248</v>
      </c>
      <c r="R36" s="32">
        <f t="shared" si="7"/>
        <v>8.3040035932300285</v>
      </c>
      <c r="S36" s="32">
        <f t="shared" si="7"/>
        <v>8.6013084502740664</v>
      </c>
      <c r="T36" s="32">
        <f t="shared" si="7"/>
        <v>8.580182762945709</v>
      </c>
      <c r="U36" s="32">
        <f t="shared" si="7"/>
        <v>8.8475804484909002</v>
      </c>
      <c r="V36" s="32">
        <f t="shared" si="7"/>
        <v>8.5973316079516291</v>
      </c>
      <c r="W36" s="32">
        <f t="shared" si="7"/>
        <v>8.2874185046469702</v>
      </c>
      <c r="X36" s="32">
        <f t="shared" si="7"/>
        <v>8.27847100477811</v>
      </c>
      <c r="Y36" s="32">
        <f t="shared" si="7"/>
        <v>8.4043942349371488</v>
      </c>
      <c r="Z36" s="32">
        <f t="shared" si="7"/>
        <v>7.9978083225212737</v>
      </c>
      <c r="AA36" s="32">
        <f t="shared" si="7"/>
        <v>7.8880242028740915</v>
      </c>
      <c r="AB36" s="32" t="str">
        <f t="shared" si="7"/>
        <v/>
      </c>
      <c r="AC36" s="32" t="str">
        <f t="shared" si="7"/>
        <v/>
      </c>
      <c r="AD36" s="32" t="str">
        <f t="shared" si="7"/>
        <v/>
      </c>
      <c r="AE36" s="32" t="str">
        <f t="shared" si="7"/>
        <v/>
      </c>
      <c r="AF36" s="32" t="str">
        <f t="shared" si="7"/>
        <v/>
      </c>
    </row>
    <row r="37" spans="1:32" x14ac:dyDescent="0.3">
      <c r="A37" s="4" t="s">
        <v>320</v>
      </c>
      <c r="B37" s="8"/>
      <c r="C37" s="31" t="s">
        <v>229</v>
      </c>
      <c r="D37" s="32">
        <f t="shared" ref="D37:AF37" si="8">IFERROR(D10/AVERAGE(D29,C29)/3,"")</f>
        <v>9.2890005182793143</v>
      </c>
      <c r="E37" s="32">
        <f t="shared" si="8"/>
        <v>9.2926435021450882</v>
      </c>
      <c r="F37" s="32">
        <f t="shared" si="8"/>
        <v>9.0743972046791246</v>
      </c>
      <c r="G37" s="32">
        <f t="shared" si="8"/>
        <v>8.9397804147720983</v>
      </c>
      <c r="H37" s="32">
        <f t="shared" si="8"/>
        <v>8.9641757428276669</v>
      </c>
      <c r="I37" s="32">
        <f t="shared" si="8"/>
        <v>9.2021190248427391</v>
      </c>
      <c r="J37" s="32">
        <f t="shared" si="8"/>
        <v>9.3151685851906283</v>
      </c>
      <c r="K37" s="32">
        <f t="shared" si="8"/>
        <v>9.7101155793294485</v>
      </c>
      <c r="L37" s="32">
        <f t="shared" si="8"/>
        <v>9.7388296058081174</v>
      </c>
      <c r="M37" s="32">
        <f t="shared" si="8"/>
        <v>9.5984762167823305</v>
      </c>
      <c r="N37" s="32">
        <f t="shared" si="8"/>
        <v>9.2604055326005472</v>
      </c>
      <c r="O37" s="32">
        <f t="shared" si="8"/>
        <v>9.2111548180635321</v>
      </c>
      <c r="P37" s="32">
        <f t="shared" si="8"/>
        <v>8.831927376747716</v>
      </c>
      <c r="Q37" s="32">
        <f t="shared" si="8"/>
        <v>8.3445919626808589</v>
      </c>
      <c r="R37" s="32">
        <f t="shared" si="8"/>
        <v>7.6920265944790858</v>
      </c>
      <c r="S37" s="32">
        <f t="shared" si="8"/>
        <v>8.0302017608374943</v>
      </c>
      <c r="T37" s="32">
        <f t="shared" si="8"/>
        <v>7.6583108400813096</v>
      </c>
      <c r="U37" s="32">
        <f t="shared" si="8"/>
        <v>7.6186711339833444</v>
      </c>
      <c r="V37" s="32">
        <f t="shared" si="8"/>
        <v>7.3128240186862641</v>
      </c>
      <c r="W37" s="32">
        <f t="shared" si="8"/>
        <v>7.3459796983113046</v>
      </c>
      <c r="X37" s="32">
        <f t="shared" si="8"/>
        <v>7.168566433923881</v>
      </c>
      <c r="Y37" s="32">
        <f t="shared" si="8"/>
        <v>7.3052295455723089</v>
      </c>
      <c r="Z37" s="32">
        <f t="shared" si="8"/>
        <v>7.3365109628217349</v>
      </c>
      <c r="AA37" s="32">
        <f t="shared" si="8"/>
        <v>7.2938889950933543</v>
      </c>
      <c r="AB37" s="32" t="str">
        <f t="shared" si="8"/>
        <v/>
      </c>
      <c r="AC37" s="32" t="str">
        <f t="shared" si="8"/>
        <v/>
      </c>
      <c r="AD37" s="32" t="str">
        <f t="shared" si="8"/>
        <v/>
      </c>
      <c r="AE37" s="32" t="str">
        <f t="shared" si="8"/>
        <v/>
      </c>
      <c r="AF37" s="32" t="str">
        <f t="shared" si="8"/>
        <v/>
      </c>
    </row>
    <row r="39" spans="1:32" x14ac:dyDescent="0.3">
      <c r="A39" s="8" t="s">
        <v>330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8"/>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2" customWidth="1"/>
    <col min="2" max="2" width="30" customWidth="1"/>
    <col min="3" max="32" width="10.44140625" customWidth="1"/>
  </cols>
  <sheetData>
    <row r="1" spans="1:32" ht="18" x14ac:dyDescent="0.35">
      <c r="A1" s="1" t="s">
        <v>331</v>
      </c>
    </row>
    <row r="2" spans="1:32" x14ac:dyDescent="0.3">
      <c r="A2" s="2" t="s">
        <v>332</v>
      </c>
    </row>
    <row r="4" spans="1:32" x14ac:dyDescent="0.3">
      <c r="A4" s="5" t="s">
        <v>31</v>
      </c>
      <c r="B4" s="5" t="s">
        <v>32</v>
      </c>
      <c r="C4" s="5" t="s">
        <v>33</v>
      </c>
      <c r="D4" s="5" t="s">
        <v>34</v>
      </c>
      <c r="E4" s="5" t="s">
        <v>35</v>
      </c>
      <c r="F4" s="5" t="s">
        <v>36</v>
      </c>
      <c r="G4" s="5" t="s">
        <v>37</v>
      </c>
      <c r="H4" s="5" t="s">
        <v>38</v>
      </c>
      <c r="I4" s="5" t="s">
        <v>39</v>
      </c>
      <c r="J4" s="5" t="s">
        <v>40</v>
      </c>
      <c r="K4" s="5" t="s">
        <v>41</v>
      </c>
      <c r="L4" s="5" t="s">
        <v>42</v>
      </c>
      <c r="M4" s="5" t="s">
        <v>43</v>
      </c>
      <c r="N4" s="5" t="s">
        <v>44</v>
      </c>
      <c r="O4" s="5" t="s">
        <v>45</v>
      </c>
      <c r="P4" s="5" t="s">
        <v>46</v>
      </c>
      <c r="Q4" s="5" t="s">
        <v>47</v>
      </c>
      <c r="R4" s="5" t="s">
        <v>48</v>
      </c>
      <c r="S4" s="5" t="s">
        <v>49</v>
      </c>
      <c r="T4" s="5" t="s">
        <v>50</v>
      </c>
      <c r="U4" s="5" t="s">
        <v>51</v>
      </c>
      <c r="V4" s="5" t="s">
        <v>52</v>
      </c>
      <c r="W4" s="5" t="s">
        <v>53</v>
      </c>
      <c r="X4" s="5" t="s">
        <v>54</v>
      </c>
      <c r="Y4" s="5" t="s">
        <v>55</v>
      </c>
      <c r="Z4" s="5" t="s">
        <v>56</v>
      </c>
      <c r="AA4" s="5" t="s">
        <v>57</v>
      </c>
      <c r="AB4" s="5" t="s">
        <v>58</v>
      </c>
      <c r="AC4" s="5" t="s">
        <v>59</v>
      </c>
      <c r="AD4" s="5" t="s">
        <v>60</v>
      </c>
      <c r="AE4" s="5" t="s">
        <v>61</v>
      </c>
      <c r="AF4" s="5" t="s">
        <v>62</v>
      </c>
    </row>
    <row r="6" spans="1:32" x14ac:dyDescent="0.3">
      <c r="A6" s="6" t="s">
        <v>333</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
      <c r="A7" s="4" t="s">
        <v>334</v>
      </c>
      <c r="B7" s="8" t="s">
        <v>335</v>
      </c>
      <c r="C7" s="33">
        <v>2.4018000000000001E-2</v>
      </c>
      <c r="D7" s="33">
        <v>2.3973999999999999E-2</v>
      </c>
      <c r="E7" s="33">
        <v>2.1922000000000001E-2</v>
      </c>
      <c r="F7" s="33">
        <v>1.6456999999999999E-2</v>
      </c>
      <c r="G7" s="33">
        <v>1.2548999999999999E-2</v>
      </c>
      <c r="H7" s="33">
        <v>5.8799999999999998E-4</v>
      </c>
      <c r="I7" s="33">
        <v>9.2600000000000007E-4</v>
      </c>
      <c r="J7" s="33">
        <v>8.8800000000000001E-4</v>
      </c>
      <c r="K7" s="33">
        <v>7.6899999999999994E-4</v>
      </c>
      <c r="L7" s="33">
        <v>6.8199999999999999E-4</v>
      </c>
      <c r="M7" s="33">
        <v>8.9999999999999998E-4</v>
      </c>
      <c r="N7" s="33">
        <v>7.9500000000000003E-4</v>
      </c>
      <c r="O7" s="33">
        <v>1.214E-3</v>
      </c>
      <c r="P7" s="33">
        <v>7.6680000000000003E-3</v>
      </c>
      <c r="Q7" s="33">
        <v>2.1829000000000001E-2</v>
      </c>
      <c r="R7" s="33">
        <v>3.6533999999999997E-2</v>
      </c>
      <c r="S7" s="33">
        <v>4.5145999999999999E-2</v>
      </c>
      <c r="T7" s="33">
        <v>4.9881000000000002E-2</v>
      </c>
      <c r="U7" s="33">
        <v>5.2592E-2</v>
      </c>
      <c r="V7" s="33">
        <v>5.33E-2</v>
      </c>
      <c r="W7" s="33">
        <v>5.33E-2</v>
      </c>
      <c r="X7" s="33">
        <v>5.33E-2</v>
      </c>
      <c r="Y7" s="33">
        <v>5.2648E-2</v>
      </c>
      <c r="Z7" s="33">
        <v>4.6478999999999999E-2</v>
      </c>
      <c r="AA7" s="33">
        <v>4.3299999999999998E-2</v>
      </c>
      <c r="AB7" s="33">
        <v>4.3299999999999998E-2</v>
      </c>
      <c r="AC7" s="33">
        <v>4.2957000000000002E-2</v>
      </c>
      <c r="AD7" s="33">
        <v>3.8952000000000001E-2</v>
      </c>
      <c r="AE7" s="33">
        <v>3.6400000000000002E-2</v>
      </c>
      <c r="AF7" s="33">
        <v>3.6310000000000002E-2</v>
      </c>
    </row>
    <row r="8" spans="1:32" x14ac:dyDescent="0.3">
      <c r="A8" s="4" t="s">
        <v>336</v>
      </c>
      <c r="B8" s="8" t="s">
        <v>337</v>
      </c>
      <c r="C8" s="33">
        <v>2.6530000000000001E-2</v>
      </c>
      <c r="D8" s="33">
        <v>2.3389E-2</v>
      </c>
      <c r="E8" s="33">
        <v>1.7979999999999999E-2</v>
      </c>
      <c r="F8" s="33">
        <v>1.7919000000000001E-2</v>
      </c>
      <c r="G8" s="33">
        <v>1.3650000000000001E-2</v>
      </c>
      <c r="H8" s="33">
        <v>6.8760000000000002E-3</v>
      </c>
      <c r="I8" s="33">
        <v>6.5059999999999996E-3</v>
      </c>
      <c r="J8" s="33">
        <v>8.6449999999999999E-3</v>
      </c>
      <c r="K8" s="33">
        <v>1.3358999999999999E-2</v>
      </c>
      <c r="L8" s="33">
        <v>1.5907999999999999E-2</v>
      </c>
      <c r="M8" s="33">
        <v>1.3247999999999999E-2</v>
      </c>
      <c r="N8" s="33">
        <v>1.5334E-2</v>
      </c>
      <c r="O8" s="33">
        <v>1.9511000000000001E-2</v>
      </c>
      <c r="P8" s="33">
        <v>2.9326000000000001E-2</v>
      </c>
      <c r="Q8" s="33">
        <v>3.1011E-2</v>
      </c>
      <c r="R8" s="33">
        <v>3.8267000000000002E-2</v>
      </c>
      <c r="S8" s="33">
        <v>3.6463000000000002E-2</v>
      </c>
      <c r="T8" s="33">
        <v>3.5957000000000003E-2</v>
      </c>
      <c r="U8" s="33">
        <v>4.1496999999999999E-2</v>
      </c>
      <c r="V8" s="33">
        <v>4.4470999999999997E-2</v>
      </c>
      <c r="W8" s="33">
        <v>4.1563999999999997E-2</v>
      </c>
      <c r="X8" s="33">
        <v>4.4486999999999999E-2</v>
      </c>
      <c r="Y8" s="33">
        <v>3.9546999999999999E-2</v>
      </c>
      <c r="Z8" s="33">
        <v>4.2755000000000001E-2</v>
      </c>
      <c r="AA8" s="33">
        <v>4.4535999999999999E-2</v>
      </c>
      <c r="AB8" s="33">
        <v>4.3617999999999997E-2</v>
      </c>
      <c r="AC8" s="33">
        <v>4.2611000000000003E-2</v>
      </c>
      <c r="AD8" s="33">
        <v>4.0999999999999988E-2</v>
      </c>
      <c r="AE8" s="33">
        <v>4.1979000000000002E-2</v>
      </c>
      <c r="AF8" s="33">
        <v>4.4219000000000001E-2</v>
      </c>
    </row>
    <row r="9" spans="1:32" x14ac:dyDescent="0.3">
      <c r="A9" s="4" t="s">
        <v>338</v>
      </c>
      <c r="B9" s="8" t="s">
        <v>339</v>
      </c>
      <c r="C9" s="33">
        <v>1.6445999999999999E-2</v>
      </c>
      <c r="D9" s="33">
        <v>1.8117000000000001E-2</v>
      </c>
      <c r="E9" s="33">
        <v>1.7575E-2</v>
      </c>
      <c r="F9" s="33">
        <v>2.0334999999999999E-2</v>
      </c>
      <c r="G9" s="33">
        <v>2.1203E-2</v>
      </c>
      <c r="H9" s="33">
        <v>3.643E-3</v>
      </c>
      <c r="I9" s="33">
        <v>1.2224E-2</v>
      </c>
      <c r="J9" s="33">
        <v>1.2395E-2</v>
      </c>
      <c r="K9" s="33">
        <v>1.8985999999999999E-2</v>
      </c>
      <c r="L9" s="33">
        <v>4.8480000000000002E-2</v>
      </c>
      <c r="M9" s="33">
        <v>5.3357000000000002E-2</v>
      </c>
      <c r="N9" s="33">
        <v>6.6890999999999992E-2</v>
      </c>
      <c r="O9" s="33">
        <v>7.9645000000000007E-2</v>
      </c>
      <c r="P9" s="33">
        <v>8.6333000000000007E-2</v>
      </c>
      <c r="Q9" s="33">
        <v>8.329700000000001E-2</v>
      </c>
      <c r="R9" s="33">
        <v>7.1034E-2</v>
      </c>
      <c r="S9" s="33">
        <v>5.8102000000000001E-2</v>
      </c>
      <c r="T9" s="33">
        <v>3.9823999999999998E-2</v>
      </c>
      <c r="U9" s="33">
        <v>3.5142E-2</v>
      </c>
      <c r="V9" s="33">
        <v>3.2434999999999999E-2</v>
      </c>
      <c r="W9" s="33">
        <v>3.2405000000000003E-2</v>
      </c>
      <c r="X9" s="33">
        <v>3.1993000000000001E-2</v>
      </c>
      <c r="Y9" s="33">
        <v>2.622E-2</v>
      </c>
      <c r="Z9" s="33">
        <v>2.7451E-2</v>
      </c>
      <c r="AA9" s="33">
        <v>2.7376000000000001E-2</v>
      </c>
      <c r="AB9" s="33">
        <v>2.4451000000000001E-2</v>
      </c>
      <c r="AC9" s="33">
        <v>2.8778999999999999E-2</v>
      </c>
      <c r="AD9" s="33">
        <v>2.7061000000000002E-2</v>
      </c>
      <c r="AE9" s="33">
        <v>2.6856999999999999E-2</v>
      </c>
      <c r="AF9" s="33">
        <v>3.8635999999999997E-2</v>
      </c>
    </row>
    <row r="10" spans="1:32" x14ac:dyDescent="0.3">
      <c r="A10" s="4" t="s">
        <v>340</v>
      </c>
      <c r="B10" s="8" t="s">
        <v>341</v>
      </c>
      <c r="C10" s="33">
        <v>3.8667E-2</v>
      </c>
      <c r="D10" s="33">
        <v>3.6332999999999997E-2</v>
      </c>
      <c r="E10" s="33">
        <v>3.5999999999999997E-2</v>
      </c>
      <c r="F10" s="33">
        <v>3.5999999999999997E-2</v>
      </c>
      <c r="G10" s="33">
        <v>3.8332999999999999E-2</v>
      </c>
      <c r="H10" s="33">
        <v>0.13</v>
      </c>
      <c r="I10" s="33">
        <v>8.8000000000000009E-2</v>
      </c>
      <c r="J10" s="33">
        <v>6.7667000000000005E-2</v>
      </c>
      <c r="K10" s="33">
        <v>6.2333E-2</v>
      </c>
      <c r="L10" s="33">
        <v>5.9332999999999997E-2</v>
      </c>
      <c r="M10" s="33">
        <v>5.0666999999999997E-2</v>
      </c>
      <c r="N10" s="33">
        <v>4.1667000000000003E-2</v>
      </c>
      <c r="O10" s="33">
        <v>3.8667E-2</v>
      </c>
      <c r="P10" s="33">
        <v>3.6332999999999997E-2</v>
      </c>
      <c r="Q10" s="33">
        <v>3.5333000000000003E-2</v>
      </c>
      <c r="R10" s="33">
        <v>3.5666999999999997E-2</v>
      </c>
      <c r="S10" s="33">
        <v>3.5333000000000003E-2</v>
      </c>
      <c r="T10" s="33">
        <v>3.5333000000000003E-2</v>
      </c>
      <c r="U10" s="33">
        <v>3.6332999999999997E-2</v>
      </c>
      <c r="V10" s="33">
        <v>3.7999999999999999E-2</v>
      </c>
      <c r="W10" s="33">
        <v>3.8332999999999999E-2</v>
      </c>
      <c r="X10" s="33">
        <v>3.9667000000000001E-2</v>
      </c>
      <c r="Y10" s="33">
        <v>4.1667000000000003E-2</v>
      </c>
      <c r="Z10" s="33">
        <v>4.1333000000000002E-2</v>
      </c>
      <c r="AA10" s="33">
        <v>4.1333000000000002E-2</v>
      </c>
      <c r="AB10" s="33">
        <v>4.2000000000000003E-2</v>
      </c>
      <c r="AC10" s="33">
        <v>4.3333000000000003E-2</v>
      </c>
      <c r="AD10" s="33">
        <v>4.4499999999999998E-2</v>
      </c>
      <c r="AE10" s="33">
        <v>4.3333000000000003E-2</v>
      </c>
      <c r="AF10" s="33">
        <v>4.2666999999999997E-2</v>
      </c>
    </row>
    <row r="12" spans="1:32" x14ac:dyDescent="0.3">
      <c r="A12" s="6" t="s">
        <v>342</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x14ac:dyDescent="0.3">
      <c r="A13" s="4" t="s">
        <v>343</v>
      </c>
      <c r="B13" s="8" t="s">
        <v>344</v>
      </c>
      <c r="C13" s="34">
        <v>0.88060000000000005</v>
      </c>
      <c r="D13" s="34">
        <v>0.88980000000000004</v>
      </c>
      <c r="E13" s="34">
        <v>0.89959999999999996</v>
      </c>
      <c r="F13" s="34">
        <v>0.9032</v>
      </c>
      <c r="G13" s="34">
        <v>0.9073</v>
      </c>
      <c r="H13" s="34">
        <v>0.90880000000000005</v>
      </c>
      <c r="I13" s="34">
        <v>0.85529999999999995</v>
      </c>
      <c r="J13" s="34">
        <v>0.83860000000000001</v>
      </c>
      <c r="K13" s="34">
        <v>0.82950000000000002</v>
      </c>
      <c r="L13" s="34">
        <v>0.82940000000000003</v>
      </c>
      <c r="M13" s="34">
        <v>0.84830000000000005</v>
      </c>
      <c r="N13" s="34">
        <v>0.87419999999999998</v>
      </c>
      <c r="O13" s="34">
        <v>0.89100000000000001</v>
      </c>
      <c r="P13" s="34">
        <v>0.93869999999999998</v>
      </c>
      <c r="Q13" s="34">
        <v>0.99319999999999997</v>
      </c>
      <c r="R13" s="34">
        <v>0.98080000000000001</v>
      </c>
      <c r="S13" s="34">
        <v>0.93200000000000005</v>
      </c>
      <c r="T13" s="34">
        <v>0.91820000000000002</v>
      </c>
      <c r="U13" s="34">
        <v>0.91900000000000004</v>
      </c>
      <c r="V13" s="34">
        <v>0.92969999999999997</v>
      </c>
      <c r="W13" s="34">
        <v>0.92110000000000003</v>
      </c>
      <c r="X13" s="34">
        <v>0.92879999999999996</v>
      </c>
      <c r="Y13" s="34">
        <v>0.91020000000000001</v>
      </c>
      <c r="Z13" s="34">
        <v>0.93740000000000001</v>
      </c>
      <c r="AA13" s="34">
        <v>0.95050000000000001</v>
      </c>
      <c r="AB13" s="34">
        <v>0.88229999999999997</v>
      </c>
      <c r="AC13" s="34">
        <v>0.85619999999999996</v>
      </c>
      <c r="AD13" s="34">
        <v>0.85960000000000003</v>
      </c>
      <c r="AE13" s="34">
        <v>0.85429999999999995</v>
      </c>
      <c r="AF13" s="34">
        <v>0.85970000000000002</v>
      </c>
    </row>
    <row r="14" spans="1:32" x14ac:dyDescent="0.3">
      <c r="A14" s="4" t="s">
        <v>345</v>
      </c>
      <c r="B14" s="8" t="s">
        <v>344</v>
      </c>
      <c r="C14" s="34">
        <v>3.766</v>
      </c>
      <c r="D14" s="34">
        <v>3.9192999999999998</v>
      </c>
      <c r="E14" s="34">
        <v>3.9704000000000002</v>
      </c>
      <c r="F14" s="34">
        <v>4.1188000000000002</v>
      </c>
      <c r="G14" s="34">
        <v>4.4550999999999998</v>
      </c>
      <c r="H14" s="34">
        <v>5.3834</v>
      </c>
      <c r="I14" s="34">
        <v>5.3757000000000001</v>
      </c>
      <c r="J14" s="34">
        <v>5.4005999999999998</v>
      </c>
      <c r="K14" s="34">
        <v>5.4696999999999996</v>
      </c>
      <c r="L14" s="34">
        <v>5.3007</v>
      </c>
      <c r="M14" s="34">
        <v>5.2252000000000001</v>
      </c>
      <c r="N14" s="34">
        <v>5.5797999999999996</v>
      </c>
      <c r="O14" s="34">
        <v>5.2378</v>
      </c>
      <c r="P14" s="34">
        <v>4.9135999999999997</v>
      </c>
      <c r="Q14" s="34">
        <v>5.25</v>
      </c>
      <c r="R14" s="34">
        <v>5.2618999999999998</v>
      </c>
      <c r="S14" s="34">
        <v>5.1947000000000001</v>
      </c>
      <c r="T14" s="34">
        <v>4.9509999999999996</v>
      </c>
      <c r="U14" s="34">
        <v>4.8795000000000002</v>
      </c>
      <c r="V14" s="34">
        <v>4.9554999999999998</v>
      </c>
      <c r="W14" s="34">
        <v>4.9516999999999998</v>
      </c>
      <c r="X14" s="34">
        <v>5.2134</v>
      </c>
      <c r="Y14" s="34">
        <v>5.5449000000000002</v>
      </c>
      <c r="Z14" s="34">
        <v>5.8372000000000002</v>
      </c>
      <c r="AA14" s="34">
        <v>5.8554000000000004</v>
      </c>
      <c r="AB14" s="34">
        <v>5.6650999999999998</v>
      </c>
      <c r="AC14" s="34">
        <v>5.4527999999999999</v>
      </c>
      <c r="AD14" s="34">
        <v>5.3909000000000002</v>
      </c>
      <c r="AE14" s="34">
        <v>5.2591000000000001</v>
      </c>
      <c r="AF14" s="34">
        <v>5.0439999999999996</v>
      </c>
    </row>
    <row r="15" spans="1:32" x14ac:dyDescent="0.3">
      <c r="A15" s="4" t="s">
        <v>346</v>
      </c>
      <c r="B15" s="8" t="s">
        <v>344</v>
      </c>
      <c r="C15" s="34">
        <v>19.199200000000001</v>
      </c>
      <c r="D15" s="34">
        <v>19.133500000000002</v>
      </c>
      <c r="E15" s="34">
        <v>19.430199999999999</v>
      </c>
      <c r="F15" s="34">
        <v>19.2593</v>
      </c>
      <c r="G15" s="34">
        <v>19.994700000000002</v>
      </c>
      <c r="H15" s="34">
        <v>23.3354</v>
      </c>
      <c r="I15" s="34">
        <v>22.0901</v>
      </c>
      <c r="J15" s="34">
        <v>20.549600000000002</v>
      </c>
      <c r="K15" s="34">
        <v>20.338799999999999</v>
      </c>
      <c r="L15" s="34">
        <v>20.008700000000001</v>
      </c>
      <c r="M15" s="34">
        <v>20.020800000000001</v>
      </c>
      <c r="N15" s="34">
        <v>20.7361</v>
      </c>
      <c r="O15" s="34">
        <v>20.4955</v>
      </c>
      <c r="P15" s="34">
        <v>20.032399999999999</v>
      </c>
      <c r="Q15" s="34">
        <v>20.241800000000001</v>
      </c>
      <c r="R15" s="34">
        <v>19.683700000000002</v>
      </c>
      <c r="S15" s="34">
        <v>18.681000000000001</v>
      </c>
      <c r="T15" s="34">
        <v>17.686</v>
      </c>
      <c r="U15" s="34">
        <v>17.062899999999999</v>
      </c>
      <c r="V15" s="34">
        <v>17.555499999999999</v>
      </c>
      <c r="W15" s="34">
        <v>16.987200000000001</v>
      </c>
      <c r="X15" s="34">
        <v>17.268599999999999</v>
      </c>
      <c r="Y15" s="34">
        <v>18.950299999999999</v>
      </c>
      <c r="Z15" s="34">
        <v>20.092700000000001</v>
      </c>
      <c r="AA15" s="34">
        <v>20.430700000000002</v>
      </c>
      <c r="AB15" s="34">
        <v>19.5168</v>
      </c>
      <c r="AC15" s="34">
        <v>18.639800000000001</v>
      </c>
      <c r="AD15" s="34">
        <v>18.311900000000001</v>
      </c>
      <c r="AE15" s="34">
        <v>17.552199999999999</v>
      </c>
      <c r="AF15" s="34">
        <v>17.3703</v>
      </c>
    </row>
    <row r="16" spans="1:32" x14ac:dyDescent="0.3">
      <c r="A16" s="4" t="s">
        <v>347</v>
      </c>
      <c r="B16" s="8" t="s">
        <v>344</v>
      </c>
      <c r="C16" s="34">
        <v>0.7681</v>
      </c>
      <c r="D16" s="34">
        <v>0.77839999999999998</v>
      </c>
      <c r="E16" s="34">
        <v>0.81140000000000001</v>
      </c>
      <c r="F16" s="34">
        <v>0.77680000000000005</v>
      </c>
      <c r="G16" s="34">
        <v>0.78159999999999996</v>
      </c>
      <c r="H16" s="34">
        <v>0.80600000000000005</v>
      </c>
      <c r="I16" s="34">
        <v>0.77400000000000002</v>
      </c>
      <c r="J16" s="34">
        <v>0.75739999999999996</v>
      </c>
      <c r="K16" s="34">
        <v>0.72550000000000003</v>
      </c>
      <c r="L16" s="34">
        <v>0.71509999999999996</v>
      </c>
      <c r="M16" s="34">
        <v>0.72560000000000002</v>
      </c>
      <c r="N16" s="34">
        <v>0.74119999999999997</v>
      </c>
      <c r="O16" s="34">
        <v>0.74529999999999996</v>
      </c>
      <c r="P16" s="34">
        <v>0.79600000000000004</v>
      </c>
      <c r="Q16" s="34">
        <v>0.85070000000000001</v>
      </c>
      <c r="R16" s="34">
        <v>0.85299999999999998</v>
      </c>
      <c r="S16" s="34">
        <v>0.82310000000000005</v>
      </c>
      <c r="T16" s="34">
        <v>0.79879999999999995</v>
      </c>
      <c r="U16" s="34">
        <v>0.79010000000000002</v>
      </c>
      <c r="V16" s="34">
        <v>0.80579999999999996</v>
      </c>
      <c r="W16" s="34">
        <v>0.78859999999999997</v>
      </c>
      <c r="X16" s="34">
        <v>0.79220000000000002</v>
      </c>
      <c r="Y16" s="34">
        <v>0.76919999999999999</v>
      </c>
      <c r="Z16" s="34">
        <v>0.78010000000000002</v>
      </c>
      <c r="AA16" s="34">
        <v>0.79430000000000001</v>
      </c>
      <c r="AB16" s="34">
        <v>0.74909999999999999</v>
      </c>
      <c r="AC16" s="34">
        <v>0.74170000000000003</v>
      </c>
      <c r="AD16" s="34">
        <v>0.75260000000000005</v>
      </c>
      <c r="AE16" s="34">
        <v>0.74180000000000001</v>
      </c>
      <c r="AF16" s="34">
        <v>0.74470000000000003</v>
      </c>
    </row>
    <row r="17" spans="1:32" x14ac:dyDescent="0.3">
      <c r="A17" s="4" t="s">
        <v>348</v>
      </c>
      <c r="B17" s="8" t="s">
        <v>344</v>
      </c>
      <c r="C17" s="34">
        <v>110.1579</v>
      </c>
      <c r="D17" s="34">
        <v>109.8802</v>
      </c>
      <c r="E17" s="34">
        <v>107.2971</v>
      </c>
      <c r="F17" s="34">
        <v>108.7058</v>
      </c>
      <c r="G17" s="34">
        <v>108.95529999999999</v>
      </c>
      <c r="H17" s="34">
        <v>107.5021</v>
      </c>
      <c r="I17" s="34">
        <v>106.119</v>
      </c>
      <c r="J17" s="34">
        <v>104.4649</v>
      </c>
      <c r="K17" s="34">
        <v>105.9648</v>
      </c>
      <c r="L17" s="34">
        <v>109.39060000000001</v>
      </c>
      <c r="M17" s="34">
        <v>110.0806</v>
      </c>
      <c r="N17" s="34">
        <v>113.68049999999999</v>
      </c>
      <c r="O17" s="34">
        <v>116.2423</v>
      </c>
      <c r="P17" s="34">
        <v>129.68199999999999</v>
      </c>
      <c r="Q17" s="34">
        <v>138.2636</v>
      </c>
      <c r="R17" s="34">
        <v>141.47810000000001</v>
      </c>
      <c r="S17" s="34">
        <v>132.32149999999999</v>
      </c>
      <c r="T17" s="34">
        <v>137.3014</v>
      </c>
      <c r="U17" s="34">
        <v>144.5043</v>
      </c>
      <c r="V17" s="34">
        <v>147.85130000000001</v>
      </c>
      <c r="W17" s="34">
        <v>148.47800000000001</v>
      </c>
      <c r="X17" s="34">
        <v>155.8477</v>
      </c>
      <c r="Y17" s="34">
        <v>149.11269999999999</v>
      </c>
      <c r="Z17" s="34">
        <v>152.31460000000001</v>
      </c>
      <c r="AA17" s="34">
        <v>152.4494</v>
      </c>
      <c r="AB17" s="34">
        <v>144.47499999999999</v>
      </c>
      <c r="AC17" s="34">
        <v>147.50579999999999</v>
      </c>
      <c r="AD17" s="34">
        <v>154.14590000000001</v>
      </c>
      <c r="AE17" s="34">
        <v>156.84190000000001</v>
      </c>
      <c r="AF17" s="34">
        <v>159.3382</v>
      </c>
    </row>
    <row r="18" spans="1:32" x14ac:dyDescent="0.3">
      <c r="A18" s="3" t="s">
        <v>349</v>
      </c>
      <c r="B18" s="8" t="s">
        <v>350</v>
      </c>
      <c r="C18" s="35">
        <v>97.765699999999995</v>
      </c>
      <c r="D18" s="35">
        <v>98.862300000000005</v>
      </c>
      <c r="E18" s="35">
        <v>100.0106</v>
      </c>
      <c r="F18" s="35">
        <v>100</v>
      </c>
      <c r="G18" s="35">
        <v>102.65689999999999</v>
      </c>
      <c r="H18" s="35">
        <v>111.0292</v>
      </c>
      <c r="I18" s="35">
        <v>107.434</v>
      </c>
      <c r="J18" s="35">
        <v>104.8537</v>
      </c>
      <c r="K18" s="35">
        <v>104.2248</v>
      </c>
      <c r="L18" s="35">
        <v>103.4208</v>
      </c>
      <c r="M18" s="35">
        <v>103.88209999999999</v>
      </c>
      <c r="N18" s="35">
        <v>107.98690000000001</v>
      </c>
      <c r="O18" s="35">
        <v>107.0227</v>
      </c>
      <c r="P18" s="35">
        <v>109.8032</v>
      </c>
      <c r="Q18" s="35">
        <v>115.8458</v>
      </c>
      <c r="R18" s="35">
        <v>115.70099999999999</v>
      </c>
      <c r="S18" s="35">
        <v>110.7984</v>
      </c>
      <c r="T18" s="35">
        <v>108.5663</v>
      </c>
      <c r="U18" s="35">
        <v>108.69119999999999</v>
      </c>
      <c r="V18" s="35">
        <v>110.82989999999999</v>
      </c>
      <c r="W18" s="35">
        <v>109.7021</v>
      </c>
      <c r="X18" s="35">
        <v>112.8856</v>
      </c>
      <c r="Y18" s="35">
        <v>113.9973</v>
      </c>
      <c r="Z18" s="35">
        <v>118.0748</v>
      </c>
      <c r="AA18" s="35">
        <v>119.1948</v>
      </c>
      <c r="AB18" s="35">
        <v>113.1793</v>
      </c>
      <c r="AC18" s="35">
        <v>111.02760000000001</v>
      </c>
      <c r="AD18" s="35">
        <v>111.967</v>
      </c>
      <c r="AE18" s="35">
        <v>110.6353</v>
      </c>
      <c r="AF18" s="35">
        <v>110.0568</v>
      </c>
    </row>
    <row r="20" spans="1:32" x14ac:dyDescent="0.3">
      <c r="A20" s="6" t="s">
        <v>351</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x14ac:dyDescent="0.3">
      <c r="A21" s="4" t="s">
        <v>352</v>
      </c>
      <c r="B21" s="8"/>
      <c r="C21" s="16" t="s">
        <v>229</v>
      </c>
      <c r="D21" s="16" t="s">
        <v>229</v>
      </c>
      <c r="E21" s="16" t="s">
        <v>229</v>
      </c>
      <c r="F21" s="16" t="s">
        <v>229</v>
      </c>
      <c r="G21" s="14">
        <f t="shared" ref="G21:AF21" si="0">IFERROR(G18/C18-1,"")</f>
        <v>5.0029816182976194E-2</v>
      </c>
      <c r="H21" s="14">
        <f t="shared" si="0"/>
        <v>0.12306915780838601</v>
      </c>
      <c r="I21" s="14">
        <f t="shared" si="0"/>
        <v>7.4226132030004832E-2</v>
      </c>
      <c r="J21" s="14">
        <f t="shared" si="0"/>
        <v>4.8537000000000052E-2</v>
      </c>
      <c r="K21" s="14">
        <f t="shared" si="0"/>
        <v>1.5273206184874155E-2</v>
      </c>
      <c r="L21" s="14">
        <f t="shared" si="0"/>
        <v>-6.8526117453787005E-2</v>
      </c>
      <c r="M21" s="14">
        <f t="shared" si="0"/>
        <v>-3.3061228288996047E-2</v>
      </c>
      <c r="N21" s="14">
        <f t="shared" si="0"/>
        <v>2.9881635078208957E-2</v>
      </c>
      <c r="O21" s="14">
        <f t="shared" si="0"/>
        <v>2.6844858421412265E-2</v>
      </c>
      <c r="P21" s="14">
        <f t="shared" si="0"/>
        <v>6.1712924286023707E-2</v>
      </c>
      <c r="Q21" s="14">
        <f t="shared" si="0"/>
        <v>0.11516613545548271</v>
      </c>
      <c r="R21" s="14">
        <f t="shared" si="0"/>
        <v>7.1435516715453229E-2</v>
      </c>
      <c r="S21" s="14">
        <f t="shared" si="0"/>
        <v>3.5279431372970516E-2</v>
      </c>
      <c r="T21" s="14">
        <f t="shared" si="0"/>
        <v>-1.1264699025165026E-2</v>
      </c>
      <c r="U21" s="14">
        <f t="shared" si="0"/>
        <v>-6.1759683993722669E-2</v>
      </c>
      <c r="V21" s="14">
        <f t="shared" si="0"/>
        <v>-4.210075971685634E-2</v>
      </c>
      <c r="W21" s="14">
        <f t="shared" si="0"/>
        <v>-9.8945472136782175E-3</v>
      </c>
      <c r="X21" s="14">
        <f t="shared" si="0"/>
        <v>3.9784905629094869E-2</v>
      </c>
      <c r="Y21" s="14">
        <f t="shared" si="0"/>
        <v>4.8818119590178455E-2</v>
      </c>
      <c r="Z21" s="14">
        <f t="shared" si="0"/>
        <v>6.5369543778348582E-2</v>
      </c>
      <c r="AA21" s="14">
        <f t="shared" si="0"/>
        <v>8.6531616076629403E-2</v>
      </c>
      <c r="AB21" s="14">
        <f t="shared" si="0"/>
        <v>2.6017490273337884E-3</v>
      </c>
      <c r="AC21" s="14">
        <f t="shared" si="0"/>
        <v>-2.6050616988297026E-2</v>
      </c>
      <c r="AD21" s="14">
        <f t="shared" si="0"/>
        <v>-5.1728226514040188E-2</v>
      </c>
      <c r="AE21" s="14">
        <f t="shared" si="0"/>
        <v>-7.1811018601482646E-2</v>
      </c>
      <c r="AF21" s="14">
        <f t="shared" si="0"/>
        <v>-2.7588967240475992E-2</v>
      </c>
    </row>
    <row r="22" spans="1:32" x14ac:dyDescent="0.3">
      <c r="A22" s="3" t="s">
        <v>353</v>
      </c>
      <c r="B22" s="8"/>
      <c r="C22" s="16" t="s">
        <v>229</v>
      </c>
      <c r="D22" s="16" t="s">
        <v>229</v>
      </c>
      <c r="E22" s="16" t="s">
        <v>229</v>
      </c>
      <c r="F22" s="16" t="s">
        <v>229</v>
      </c>
      <c r="G22" s="15">
        <f>AH!G7</f>
        <v>0.27575784252659585</v>
      </c>
      <c r="H22" s="15">
        <f>AH!H7</f>
        <v>0.24886068091834523</v>
      </c>
      <c r="I22" s="15">
        <f>AH!I7</f>
        <v>0.22702641897231696</v>
      </c>
      <c r="J22" s="15">
        <f>AH!J7</f>
        <v>0.21527612404649049</v>
      </c>
      <c r="K22" s="15">
        <f>AH!K7</f>
        <v>0.2419670193843603</v>
      </c>
      <c r="L22" s="15">
        <f>AH!L7</f>
        <v>0.19411767767472105</v>
      </c>
      <c r="M22" s="15">
        <f>AH!M7</f>
        <v>0.16281682761162569</v>
      </c>
      <c r="N22" s="15">
        <f>AH!N7</f>
        <v>0.16026567768971423</v>
      </c>
      <c r="O22" s="15">
        <f>AH!O7</f>
        <v>9.8346679636512932E-2</v>
      </c>
      <c r="P22" s="15">
        <f>AH!P7</f>
        <v>8.5587453827595084E-2</v>
      </c>
      <c r="Q22" s="15">
        <f>AH!Q7</f>
        <v>5.90798355895737E-2</v>
      </c>
      <c r="R22" s="15">
        <f>AH!R7</f>
        <v>1.8514607906950999E-2</v>
      </c>
      <c r="S22" s="15">
        <f>AH!S7</f>
        <v>3.7334100005757653E-2</v>
      </c>
      <c r="T22" s="15">
        <f>AH!T7</f>
        <v>2.7246694882813338E-2</v>
      </c>
      <c r="U22" s="15">
        <f>AH!U7</f>
        <v>7.7732897832577461E-2</v>
      </c>
      <c r="V22" s="15">
        <f>AH!V7</f>
        <v>0.12490644166563838</v>
      </c>
      <c r="W22" s="15">
        <f>AH!W7</f>
        <v>0.14812676047536844</v>
      </c>
      <c r="X22" s="15">
        <f>AH!X7</f>
        <v>0.16757769135396378</v>
      </c>
      <c r="Y22" s="15">
        <f>AH!Y7</f>
        <v>0.15020895216250502</v>
      </c>
      <c r="Z22" s="15">
        <f>AH!Z7</f>
        <v>0.16004936133117095</v>
      </c>
      <c r="AA22" s="15">
        <f>AH!AA7</f>
        <v>0.12511269481475779</v>
      </c>
      <c r="AB22" s="15">
        <f>AH!AB7</f>
        <v>0.15899222851858552</v>
      </c>
      <c r="AC22" s="15">
        <f>AH!AC7</f>
        <v>0.17156793442000245</v>
      </c>
      <c r="AD22" s="15">
        <f>AH!AD7</f>
        <v>0.17608419566734554</v>
      </c>
      <c r="AE22" s="15">
        <f>AH!AE7</f>
        <v>0.16190725785301271</v>
      </c>
      <c r="AF22" s="15">
        <f>AH!AF7</f>
        <v>0.13365374252899551</v>
      </c>
    </row>
    <row r="23" spans="1:32" x14ac:dyDescent="0.3">
      <c r="A23" s="4" t="s">
        <v>354</v>
      </c>
      <c r="B23" s="8"/>
      <c r="C23" s="16" t="s">
        <v>229</v>
      </c>
      <c r="D23" s="16" t="s">
        <v>229</v>
      </c>
      <c r="E23" s="16" t="s">
        <v>229</v>
      </c>
      <c r="F23" s="16" t="s">
        <v>229</v>
      </c>
      <c r="G23" s="14">
        <f>Regioes!G21</f>
        <v>0.39735961127925812</v>
      </c>
      <c r="H23" s="14">
        <f>Regioes!H21</f>
        <v>0.4347325081666335</v>
      </c>
      <c r="I23" s="14">
        <f>Regioes!I21</f>
        <v>0.41388406487213253</v>
      </c>
      <c r="J23" s="14">
        <f>Regioes!J21</f>
        <v>0.36772772390965858</v>
      </c>
      <c r="K23" s="14">
        <f>Regioes!K21</f>
        <v>0.35985457279889344</v>
      </c>
      <c r="L23" s="14">
        <f>Regioes!L21</f>
        <v>0.26839263908710898</v>
      </c>
      <c r="M23" s="14">
        <f>Regioes!M21</f>
        <v>0.20462556516993108</v>
      </c>
      <c r="N23" s="14">
        <f>Regioes!N21</f>
        <v>0.18073909369358748</v>
      </c>
      <c r="O23" s="14">
        <f>Regioes!O21</f>
        <v>9.3083338382386013E-2</v>
      </c>
      <c r="P23" s="14">
        <f>Regioes!P21</f>
        <v>2.3643188029060899E-2</v>
      </c>
      <c r="Q23" s="14">
        <f>Regioes!Q21</f>
        <v>-2.3198789263719634E-2</v>
      </c>
      <c r="R23" s="14">
        <f>Regioes!R21</f>
        <v>-6.8672907388605695E-2</v>
      </c>
      <c r="S23" s="14">
        <f>Regioes!S21</f>
        <v>-1.7249381399475631E-2</v>
      </c>
      <c r="T23" s="14">
        <f>Regioes!T21</f>
        <v>4.2704503232291552E-2</v>
      </c>
      <c r="U23" s="14">
        <f>Regioes!U21</f>
        <v>0.13356769511417996</v>
      </c>
      <c r="V23" s="14">
        <f>Regioes!V21</f>
        <v>0.18441281032791731</v>
      </c>
      <c r="W23" s="14">
        <f>Regioes!W21</f>
        <v>0.17498602858787257</v>
      </c>
      <c r="X23" s="14">
        <f>Regioes!X21</f>
        <v>0.17391586038397133</v>
      </c>
      <c r="Y23" s="14">
        <f>Regioes!Y21</f>
        <v>0.16349652042629687</v>
      </c>
      <c r="Z23" s="14">
        <f>Regioes!Z21</f>
        <v>0.18109163544132795</v>
      </c>
      <c r="AA23" s="14">
        <f>Regioes!AA21</f>
        <v>0.15093099064192217</v>
      </c>
      <c r="AB23" s="14">
        <f>Regioes!AB21</f>
        <v>0.17634415108592016</v>
      </c>
      <c r="AC23" s="14">
        <f>Regioes!AC21</f>
        <v>0.1804985278282899</v>
      </c>
      <c r="AD23" s="14">
        <f>Regioes!AD21</f>
        <v>0.17798341892758379</v>
      </c>
      <c r="AE23" s="14">
        <f>Regioes!AE21</f>
        <v>0.17439045594940603</v>
      </c>
      <c r="AF23" s="14">
        <f>Regioes!AF21</f>
        <v>0.13999872815787789</v>
      </c>
    </row>
    <row r="24" spans="1:32" x14ac:dyDescent="0.3">
      <c r="A24" s="4" t="s">
        <v>355</v>
      </c>
      <c r="B24" s="8"/>
      <c r="C24" s="11">
        <f>DRE!C15</f>
        <v>135.529</v>
      </c>
      <c r="D24" s="11">
        <f>DRE!D15</f>
        <v>152.03299999999999</v>
      </c>
      <c r="E24" s="11">
        <f>DRE!E15</f>
        <v>160.66</v>
      </c>
      <c r="F24" s="11">
        <f>DRE!F15</f>
        <v>177.80099999999999</v>
      </c>
      <c r="G24" s="11">
        <f>DRE!G15</f>
        <v>184.083</v>
      </c>
      <c r="H24" s="11">
        <f>DRE!H15</f>
        <v>189.15100000000001</v>
      </c>
      <c r="I24" s="11">
        <f>DRE!I15</f>
        <v>197.07900000000001</v>
      </c>
      <c r="J24" s="11">
        <f>DRE!J15</f>
        <v>197.18600000000001</v>
      </c>
      <c r="K24" s="11">
        <f>DRE!K15</f>
        <v>194.44</v>
      </c>
      <c r="L24" s="11">
        <f>DRE!L15</f>
        <v>191.322</v>
      </c>
      <c r="M24" s="11">
        <f>DRE!M15</f>
        <v>190.429</v>
      </c>
      <c r="N24" s="11">
        <f>DRE!N15</f>
        <v>189.429</v>
      </c>
      <c r="O24" s="11">
        <f>DRE!O15</f>
        <v>187.57900000000001</v>
      </c>
      <c r="P24" s="11">
        <f>DRE!P15</f>
        <v>175.45500000000001</v>
      </c>
      <c r="Q24" s="11">
        <f>DRE!Q15</f>
        <v>172.57499999999999</v>
      </c>
      <c r="R24" s="11">
        <f>DRE!R15</f>
        <v>170.60300000000001</v>
      </c>
      <c r="S24" s="11">
        <f>DRE!S15</f>
        <v>174.239</v>
      </c>
      <c r="T24" s="11">
        <f>DRE!T15</f>
        <v>174.81200000000001</v>
      </c>
      <c r="U24" s="11">
        <f>DRE!U15</f>
        <v>175.56299999999999</v>
      </c>
      <c r="V24" s="11">
        <f>DRE!V15</f>
        <v>175.21199999999999</v>
      </c>
      <c r="W24" s="11">
        <f>DRE!W15</f>
        <v>173.31399999999999</v>
      </c>
      <c r="X24" s="11">
        <f>DRE!X15</f>
        <v>167.98599999999999</v>
      </c>
      <c r="Y24" s="11">
        <f>DRE!Y15</f>
        <v>184.83</v>
      </c>
      <c r="Z24" s="11">
        <f>DRE!Z15</f>
        <v>192.60300000000001</v>
      </c>
      <c r="AA24" s="11">
        <f>DRE!AA15</f>
        <v>184.172</v>
      </c>
      <c r="AB24" s="11">
        <f>DRE!AB15</f>
        <v>182.649</v>
      </c>
      <c r="AC24" s="11">
        <f>DRE!AC15</f>
        <v>175.29400000000001</v>
      </c>
      <c r="AD24" s="11">
        <f>DRE!AD15</f>
        <v>234.39500000000001</v>
      </c>
      <c r="AE24" s="11">
        <f>DRE!AE15</f>
        <v>262.077</v>
      </c>
      <c r="AF24" s="11">
        <f>DRE!AF15</f>
        <v>175.685</v>
      </c>
    </row>
    <row r="26" spans="1:32" x14ac:dyDescent="0.3">
      <c r="A26" s="8" t="s">
        <v>356</v>
      </c>
    </row>
    <row r="28" spans="1:32" x14ac:dyDescent="0.3">
      <c r="A28" s="8" t="s">
        <v>357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5"/>
  <sheetViews>
    <sheetView showGridLines="0" workbookViewId="0"/>
  </sheetViews>
  <sheetFormatPr defaultRowHeight="14.4" x14ac:dyDescent="0.3"/>
  <cols>
    <col min="1" max="1" width="40" customWidth="1"/>
    <col min="2" max="2" width="13" customWidth="1"/>
    <col min="3" max="3" width="40" customWidth="1"/>
    <col min="4" max="4" width="13" customWidth="1"/>
    <col min="5" max="5" width="38" customWidth="1"/>
    <col min="6" max="6" width="60" customWidth="1"/>
    <col min="7" max="11" width="13" customWidth="1"/>
  </cols>
  <sheetData>
    <row r="1" spans="1:8" ht="18" x14ac:dyDescent="0.35">
      <c r="A1" s="1" t="s">
        <v>358</v>
      </c>
    </row>
    <row r="2" spans="1:8" x14ac:dyDescent="0.3">
      <c r="A2" s="2" t="s">
        <v>359</v>
      </c>
    </row>
    <row r="4" spans="1:8" x14ac:dyDescent="0.3">
      <c r="A4" s="3" t="s">
        <v>360</v>
      </c>
      <c r="B4" s="36">
        <v>2019</v>
      </c>
      <c r="C4" s="36">
        <v>2020</v>
      </c>
      <c r="D4" s="36">
        <v>2021</v>
      </c>
      <c r="E4" s="36">
        <v>2022</v>
      </c>
      <c r="F4" s="36">
        <v>2023</v>
      </c>
      <c r="G4" s="36">
        <v>2024</v>
      </c>
      <c r="H4" s="36">
        <v>2025</v>
      </c>
    </row>
    <row r="5" spans="1:8" x14ac:dyDescent="0.3">
      <c r="A5" s="3" t="s">
        <v>361</v>
      </c>
      <c r="B5" s="37">
        <v>20156.45</v>
      </c>
      <c r="C5" s="37">
        <v>24996.06</v>
      </c>
      <c r="D5" s="37">
        <v>29697.84</v>
      </c>
      <c r="E5" s="37">
        <v>31615.55</v>
      </c>
      <c r="F5" s="37">
        <v>33723.300000000003</v>
      </c>
      <c r="G5" s="37">
        <v>39000.97</v>
      </c>
      <c r="H5" s="37">
        <v>45183.040000000001</v>
      </c>
    </row>
    <row r="6" spans="1:8" x14ac:dyDescent="0.3">
      <c r="A6" s="4" t="s">
        <v>362</v>
      </c>
      <c r="B6" s="37">
        <v>69607</v>
      </c>
      <c r="C6" s="37">
        <v>65388</v>
      </c>
      <c r="D6" s="37">
        <v>67418</v>
      </c>
      <c r="E6" s="37">
        <v>82722</v>
      </c>
      <c r="F6" s="37">
        <v>88898</v>
      </c>
      <c r="G6" s="37">
        <v>91361</v>
      </c>
      <c r="H6" s="37">
        <v>94425</v>
      </c>
    </row>
    <row r="7" spans="1:8" x14ac:dyDescent="0.3">
      <c r="A7" s="4" t="s">
        <v>363</v>
      </c>
      <c r="B7" s="37">
        <v>11144</v>
      </c>
      <c r="C7" s="37">
        <v>10671</v>
      </c>
      <c r="D7" s="37">
        <v>12191</v>
      </c>
      <c r="E7" s="37">
        <v>33817</v>
      </c>
      <c r="F7" s="37">
        <v>41321</v>
      </c>
      <c r="G7" s="37">
        <v>39321</v>
      </c>
      <c r="H7" s="37">
        <v>37296</v>
      </c>
    </row>
    <row r="8" spans="1:8" x14ac:dyDescent="0.3">
      <c r="A8" s="4" t="s">
        <v>364</v>
      </c>
      <c r="B8" s="37">
        <v>26998</v>
      </c>
      <c r="C8" s="37">
        <v>25285</v>
      </c>
      <c r="D8" s="37">
        <v>28586</v>
      </c>
      <c r="E8" s="37">
        <v>30154</v>
      </c>
      <c r="F8" s="37">
        <v>29652</v>
      </c>
      <c r="G8" s="37">
        <v>29213</v>
      </c>
    </row>
    <row r="9" spans="1:8" x14ac:dyDescent="0.3">
      <c r="A9" s="4" t="s">
        <v>365</v>
      </c>
      <c r="B9" s="37">
        <v>108942</v>
      </c>
      <c r="C9" s="37">
        <v>103564</v>
      </c>
      <c r="D9" s="37">
        <v>116385</v>
      </c>
      <c r="E9" s="37">
        <v>121427</v>
      </c>
      <c r="F9" s="37">
        <v>121572</v>
      </c>
      <c r="G9" s="37">
        <v>123731</v>
      </c>
      <c r="H9" s="37">
        <v>123707</v>
      </c>
    </row>
    <row r="11" spans="1:8" x14ac:dyDescent="0.3">
      <c r="A11" s="3" t="s">
        <v>366</v>
      </c>
      <c r="B11" s="36">
        <v>2019</v>
      </c>
      <c r="C11" s="36">
        <v>2020</v>
      </c>
      <c r="D11" s="36">
        <v>2021</v>
      </c>
      <c r="E11" s="36">
        <v>2022</v>
      </c>
      <c r="F11" s="36">
        <v>2023</v>
      </c>
      <c r="G11" s="36">
        <v>2024</v>
      </c>
      <c r="H11" s="36">
        <v>2025</v>
      </c>
    </row>
    <row r="12" spans="1:8" x14ac:dyDescent="0.3">
      <c r="A12" s="3" t="s">
        <v>361</v>
      </c>
      <c r="B12" s="37">
        <v>2604.25</v>
      </c>
      <c r="C12" s="37">
        <v>4585.29</v>
      </c>
      <c r="D12" s="37">
        <v>6194.51</v>
      </c>
      <c r="E12" s="37">
        <v>5632.83</v>
      </c>
      <c r="F12" s="37">
        <v>6954</v>
      </c>
      <c r="G12" s="37">
        <v>10417.61</v>
      </c>
      <c r="H12" s="37">
        <v>13326.6</v>
      </c>
    </row>
    <row r="13" spans="1:8" x14ac:dyDescent="0.3">
      <c r="A13" s="4" t="s">
        <v>362</v>
      </c>
      <c r="B13" s="37">
        <v>14847</v>
      </c>
      <c r="C13" s="37">
        <v>8108</v>
      </c>
      <c r="D13" s="37">
        <v>7766</v>
      </c>
      <c r="E13" s="37">
        <v>12121</v>
      </c>
      <c r="F13" s="37">
        <v>12863</v>
      </c>
      <c r="G13" s="37">
        <v>15601</v>
      </c>
      <c r="H13" s="37">
        <v>17551</v>
      </c>
    </row>
    <row r="14" spans="1:8" x14ac:dyDescent="0.3">
      <c r="A14" s="4" t="s">
        <v>363</v>
      </c>
      <c r="B14" s="37">
        <v>3009</v>
      </c>
      <c r="C14" s="37">
        <v>2515</v>
      </c>
      <c r="D14" s="37">
        <v>2012</v>
      </c>
      <c r="E14" s="37">
        <v>-7370</v>
      </c>
      <c r="F14" s="37">
        <v>-1548</v>
      </c>
      <c r="G14" s="37">
        <v>-10032</v>
      </c>
      <c r="H14" s="37">
        <v>738</v>
      </c>
    </row>
    <row r="15" spans="1:8" x14ac:dyDescent="0.3">
      <c r="A15" s="4" t="s">
        <v>364</v>
      </c>
      <c r="B15" s="37">
        <v>4146</v>
      </c>
      <c r="C15" s="37">
        <v>4139</v>
      </c>
      <c r="D15" s="37">
        <v>6297</v>
      </c>
      <c r="E15" s="37">
        <v>2342</v>
      </c>
      <c r="F15" s="37">
        <v>-451</v>
      </c>
      <c r="G15" s="37">
        <v>-5269</v>
      </c>
    </row>
    <row r="16" spans="1:8" x14ac:dyDescent="0.3">
      <c r="A16" s="4" t="s">
        <v>365</v>
      </c>
      <c r="B16" s="37">
        <v>21125</v>
      </c>
      <c r="C16" s="37">
        <v>17493</v>
      </c>
      <c r="D16" s="37">
        <v>20817</v>
      </c>
      <c r="E16" s="37">
        <v>14041</v>
      </c>
      <c r="F16" s="37">
        <v>23314</v>
      </c>
      <c r="G16" s="37">
        <v>23297</v>
      </c>
      <c r="H16" s="37">
        <v>20672</v>
      </c>
    </row>
    <row r="18" spans="1:8" x14ac:dyDescent="0.3">
      <c r="A18" s="3" t="s">
        <v>367</v>
      </c>
      <c r="B18" s="36">
        <v>2019</v>
      </c>
      <c r="C18" s="36">
        <v>2020</v>
      </c>
      <c r="D18" s="36">
        <v>2021</v>
      </c>
      <c r="E18" s="36">
        <v>2022</v>
      </c>
      <c r="F18" s="36">
        <v>2023</v>
      </c>
      <c r="G18" s="36">
        <v>2024</v>
      </c>
      <c r="H18" s="36">
        <v>2025</v>
      </c>
    </row>
    <row r="19" spans="1:8" x14ac:dyDescent="0.3">
      <c r="A19" s="3" t="s">
        <v>361</v>
      </c>
      <c r="C19" s="38">
        <f t="shared" ref="C19:H23" si="0">IFERROR((C5-B5)/ABS(B5),"")</f>
        <v>0.24010229976012643</v>
      </c>
      <c r="D19" s="38">
        <f t="shared" si="0"/>
        <v>0.18810084469312358</v>
      </c>
      <c r="E19" s="38">
        <f t="shared" si="0"/>
        <v>6.45740565643831E-2</v>
      </c>
      <c r="F19" s="38">
        <f t="shared" si="0"/>
        <v>6.6668142733560032E-2</v>
      </c>
      <c r="G19" s="38">
        <f t="shared" si="0"/>
        <v>0.15649921567580866</v>
      </c>
      <c r="H19" s="38">
        <f t="shared" si="0"/>
        <v>0.15851067293967303</v>
      </c>
    </row>
    <row r="20" spans="1:8" x14ac:dyDescent="0.3">
      <c r="A20" s="4" t="s">
        <v>362</v>
      </c>
      <c r="C20" s="38">
        <f t="shared" si="0"/>
        <v>-6.0611720085623572E-2</v>
      </c>
      <c r="D20" s="38">
        <f t="shared" si="0"/>
        <v>3.1045451764849821E-2</v>
      </c>
      <c r="E20" s="38">
        <f t="shared" si="0"/>
        <v>0.22700169094307157</v>
      </c>
      <c r="F20" s="38">
        <f t="shared" si="0"/>
        <v>7.4659703585503251E-2</v>
      </c>
      <c r="G20" s="38">
        <f t="shared" si="0"/>
        <v>2.7705910144210217E-2</v>
      </c>
      <c r="H20" s="38">
        <f t="shared" si="0"/>
        <v>3.3537286150545638E-2</v>
      </c>
    </row>
    <row r="21" spans="1:8" x14ac:dyDescent="0.3">
      <c r="A21" s="4" t="s">
        <v>363</v>
      </c>
      <c r="C21" s="38">
        <f t="shared" si="0"/>
        <v>-4.2444364680545583E-2</v>
      </c>
      <c r="D21" s="38">
        <f t="shared" si="0"/>
        <v>0.14244213288351606</v>
      </c>
      <c r="E21" s="38">
        <f t="shared" si="0"/>
        <v>1.7739315888770404</v>
      </c>
      <c r="F21" s="38">
        <f t="shared" si="0"/>
        <v>0.22190022769612916</v>
      </c>
      <c r="G21" s="38">
        <f t="shared" si="0"/>
        <v>-4.8401539168945573E-2</v>
      </c>
      <c r="H21" s="38">
        <f t="shared" si="0"/>
        <v>-5.1499198901350421E-2</v>
      </c>
    </row>
    <row r="22" spans="1:8" x14ac:dyDescent="0.3">
      <c r="A22" s="4" t="s">
        <v>364</v>
      </c>
      <c r="C22" s="38">
        <f t="shared" si="0"/>
        <v>-6.3449144381065262E-2</v>
      </c>
      <c r="D22" s="38">
        <f t="shared" si="0"/>
        <v>0.13055171050029662</v>
      </c>
      <c r="E22" s="38">
        <f t="shared" si="0"/>
        <v>5.4852025467011824E-2</v>
      </c>
      <c r="F22" s="38">
        <f t="shared" si="0"/>
        <v>-1.6647874245539564E-2</v>
      </c>
      <c r="G22" s="38">
        <f t="shared" si="0"/>
        <v>-1.4805072170511264E-2</v>
      </c>
      <c r="H22" s="38">
        <f t="shared" si="0"/>
        <v>-1</v>
      </c>
    </row>
    <row r="23" spans="1:8" x14ac:dyDescent="0.3">
      <c r="A23" s="4" t="s">
        <v>365</v>
      </c>
      <c r="C23" s="38">
        <f t="shared" si="0"/>
        <v>-4.9365717537772393E-2</v>
      </c>
      <c r="D23" s="38">
        <f t="shared" si="0"/>
        <v>0.12379784481093817</v>
      </c>
      <c r="E23" s="38">
        <f t="shared" si="0"/>
        <v>4.3321733900416722E-2</v>
      </c>
      <c r="F23" s="38">
        <f t="shared" si="0"/>
        <v>1.1941331005460071E-3</v>
      </c>
      <c r="G23" s="38">
        <f t="shared" si="0"/>
        <v>1.7759023459349193E-2</v>
      </c>
      <c r="H23" s="38">
        <f t="shared" si="0"/>
        <v>-1.9396917506526255E-4</v>
      </c>
    </row>
    <row r="25" spans="1:8" x14ac:dyDescent="0.3">
      <c r="A25" s="3" t="s">
        <v>368</v>
      </c>
      <c r="B25" s="36">
        <v>2019</v>
      </c>
      <c r="C25" s="36">
        <v>2020</v>
      </c>
      <c r="D25" s="36">
        <v>2021</v>
      </c>
      <c r="E25" s="36">
        <v>2022</v>
      </c>
      <c r="F25" s="36">
        <v>2023</v>
      </c>
      <c r="G25" s="36">
        <v>2024</v>
      </c>
      <c r="H25" s="36">
        <v>2025</v>
      </c>
    </row>
    <row r="26" spans="1:8" x14ac:dyDescent="0.3">
      <c r="A26" s="3" t="s">
        <v>361</v>
      </c>
      <c r="B26" s="38">
        <f t="shared" ref="B26:H30" si="1">IFERROR(B12/B5,"")</f>
        <v>0.12920181877265094</v>
      </c>
      <c r="C26" s="38">
        <f t="shared" si="1"/>
        <v>0.18344051022441135</v>
      </c>
      <c r="D26" s="38">
        <f t="shared" si="1"/>
        <v>0.20858453005336416</v>
      </c>
      <c r="E26" s="38">
        <f t="shared" si="1"/>
        <v>0.17816644024854858</v>
      </c>
      <c r="F26" s="38">
        <f t="shared" si="1"/>
        <v>0.20620757755023972</v>
      </c>
      <c r="G26" s="38">
        <f t="shared" si="1"/>
        <v>0.26711156158423754</v>
      </c>
      <c r="H26" s="38">
        <f t="shared" si="1"/>
        <v>0.29494695354717171</v>
      </c>
    </row>
    <row r="27" spans="1:8" x14ac:dyDescent="0.3">
      <c r="A27" s="4" t="s">
        <v>362</v>
      </c>
      <c r="B27" s="38">
        <f t="shared" si="1"/>
        <v>0.21329751318114556</v>
      </c>
      <c r="C27" s="38">
        <f t="shared" si="1"/>
        <v>0.12399828714748884</v>
      </c>
      <c r="D27" s="38">
        <f t="shared" si="1"/>
        <v>0.11519178854311905</v>
      </c>
      <c r="E27" s="38">
        <f t="shared" si="1"/>
        <v>0.14652692149609536</v>
      </c>
      <c r="F27" s="38">
        <f t="shared" si="1"/>
        <v>0.14469391887331548</v>
      </c>
      <c r="G27" s="38">
        <f t="shared" si="1"/>
        <v>0.17076214139512483</v>
      </c>
      <c r="H27" s="38">
        <f t="shared" si="1"/>
        <v>0.18587238549113053</v>
      </c>
    </row>
    <row r="28" spans="1:8" x14ac:dyDescent="0.3">
      <c r="A28" s="4" t="s">
        <v>363</v>
      </c>
      <c r="B28" s="38">
        <f t="shared" si="1"/>
        <v>0.270010768126346</v>
      </c>
      <c r="C28" s="38">
        <f t="shared" si="1"/>
        <v>0.23568550276450193</v>
      </c>
      <c r="D28" s="38">
        <f t="shared" si="1"/>
        <v>0.16503978344680503</v>
      </c>
      <c r="E28" s="38">
        <f t="shared" si="1"/>
        <v>-0.21793772363012687</v>
      </c>
      <c r="F28" s="38">
        <f t="shared" si="1"/>
        <v>-3.7462791316763874E-2</v>
      </c>
      <c r="G28" s="38">
        <f t="shared" si="1"/>
        <v>-0.25513084611276415</v>
      </c>
      <c r="H28" s="38">
        <f t="shared" si="1"/>
        <v>1.9787644787644786E-2</v>
      </c>
    </row>
    <row r="29" spans="1:8" x14ac:dyDescent="0.3">
      <c r="A29" s="4" t="s">
        <v>364</v>
      </c>
      <c r="B29" s="38">
        <f t="shared" si="1"/>
        <v>0.15356693088376916</v>
      </c>
      <c r="C29" s="38">
        <f t="shared" si="1"/>
        <v>0.16369388965789994</v>
      </c>
      <c r="D29" s="38">
        <f t="shared" si="1"/>
        <v>0.22028265584551879</v>
      </c>
      <c r="E29" s="38">
        <f t="shared" si="1"/>
        <v>7.7667971081780196E-2</v>
      </c>
      <c r="F29" s="38">
        <f t="shared" si="1"/>
        <v>-1.520976662619722E-2</v>
      </c>
      <c r="G29" s="38">
        <f t="shared" si="1"/>
        <v>-0.18036490603498442</v>
      </c>
      <c r="H29" s="38" t="str">
        <f t="shared" si="1"/>
        <v/>
      </c>
    </row>
    <row r="30" spans="1:8" x14ac:dyDescent="0.3">
      <c r="A30" s="4" t="s">
        <v>365</v>
      </c>
      <c r="B30" s="38">
        <f t="shared" si="1"/>
        <v>0.19391052119476418</v>
      </c>
      <c r="C30" s="38">
        <f t="shared" si="1"/>
        <v>0.16891004596191728</v>
      </c>
      <c r="D30" s="38">
        <f t="shared" si="1"/>
        <v>0.17886325557417193</v>
      </c>
      <c r="E30" s="38">
        <f t="shared" si="1"/>
        <v>0.11563326113632058</v>
      </c>
      <c r="F30" s="38">
        <f t="shared" si="1"/>
        <v>0.1917711315105452</v>
      </c>
      <c r="G30" s="38">
        <f t="shared" si="1"/>
        <v>0.18828749464564257</v>
      </c>
      <c r="H30" s="38">
        <f t="shared" si="1"/>
        <v>0.16710452925056787</v>
      </c>
    </row>
    <row r="32" spans="1:8" x14ac:dyDescent="0.3">
      <c r="A32" s="8" t="s">
        <v>369</v>
      </c>
    </row>
    <row r="33" spans="1:8" x14ac:dyDescent="0.3">
      <c r="A33" s="39" t="s">
        <v>370</v>
      </c>
    </row>
    <row r="34" spans="1:8" x14ac:dyDescent="0.3">
      <c r="A34" s="3" t="s">
        <v>371</v>
      </c>
      <c r="B34" s="37">
        <v>11082</v>
      </c>
      <c r="C34" s="37">
        <v>-1290</v>
      </c>
      <c r="D34" s="37">
        <v>3766</v>
      </c>
      <c r="E34" s="37">
        <v>7349</v>
      </c>
      <c r="F34" s="37">
        <v>5882</v>
      </c>
      <c r="G34" s="37">
        <v>8894</v>
      </c>
      <c r="H34" s="37">
        <v>13510</v>
      </c>
    </row>
    <row r="35" spans="1:8" x14ac:dyDescent="0.3">
      <c r="A35" s="4" t="s">
        <v>372</v>
      </c>
      <c r="B35" s="38">
        <f t="shared" ref="B35:H35" si="2">IFERROR(B34/B6,"")</f>
        <v>0.15920812561954975</v>
      </c>
      <c r="C35" s="38">
        <f t="shared" si="2"/>
        <v>-1.9728390530372546E-2</v>
      </c>
      <c r="D35" s="38">
        <f t="shared" si="2"/>
        <v>5.5860452698092498E-2</v>
      </c>
      <c r="E35" s="38">
        <f t="shared" si="2"/>
        <v>8.88397282464157E-2</v>
      </c>
      <c r="F35" s="38">
        <f t="shared" si="2"/>
        <v>6.6165718013903571E-2</v>
      </c>
      <c r="G35" s="38">
        <f t="shared" si="2"/>
        <v>9.7350072788170011E-2</v>
      </c>
      <c r="H35" s="38">
        <f t="shared" si="2"/>
        <v>0.14307651575324332</v>
      </c>
    </row>
    <row r="36" spans="1:8" x14ac:dyDescent="0.3">
      <c r="A36" s="8" t="s">
        <v>373</v>
      </c>
    </row>
    <row r="38" spans="1:8" x14ac:dyDescent="0.3">
      <c r="A38" s="3" t="s">
        <v>374</v>
      </c>
    </row>
    <row r="39" spans="1:8" x14ac:dyDescent="0.3">
      <c r="A39" s="40" t="s">
        <v>375</v>
      </c>
      <c r="B39" s="40" t="s">
        <v>376</v>
      </c>
      <c r="C39" s="40" t="s">
        <v>377</v>
      </c>
      <c r="D39" s="40" t="s">
        <v>378</v>
      </c>
      <c r="E39" s="40" t="s">
        <v>379</v>
      </c>
      <c r="F39" s="40" t="s">
        <v>380</v>
      </c>
    </row>
    <row r="40" spans="1:8" x14ac:dyDescent="0.3">
      <c r="A40" s="4" t="s">
        <v>381</v>
      </c>
      <c r="B40" s="4">
        <v>2020</v>
      </c>
      <c r="C40" s="4" t="s">
        <v>382</v>
      </c>
      <c r="D40" s="37">
        <v>-2913</v>
      </c>
      <c r="E40" s="4" t="s">
        <v>383</v>
      </c>
      <c r="F40" s="4" t="s">
        <v>384</v>
      </c>
    </row>
    <row r="41" spans="1:8" x14ac:dyDescent="0.3">
      <c r="A41" s="4" t="s">
        <v>381</v>
      </c>
      <c r="B41" s="4">
        <v>2021</v>
      </c>
      <c r="C41" s="4" t="s">
        <v>382</v>
      </c>
      <c r="D41" s="37">
        <v>-1252</v>
      </c>
      <c r="E41" s="4" t="s">
        <v>385</v>
      </c>
      <c r="F41" s="4"/>
    </row>
    <row r="42" spans="1:8" x14ac:dyDescent="0.3">
      <c r="A42" s="4" t="s">
        <v>381</v>
      </c>
      <c r="B42" s="4">
        <v>2022</v>
      </c>
      <c r="C42" s="4" t="s">
        <v>382</v>
      </c>
      <c r="D42" s="37">
        <v>-3424</v>
      </c>
      <c r="E42" s="4" t="s">
        <v>385</v>
      </c>
      <c r="F42" s="4"/>
    </row>
    <row r="43" spans="1:8" x14ac:dyDescent="0.3">
      <c r="A43" s="4" t="s">
        <v>381</v>
      </c>
      <c r="B43" s="4">
        <v>2023</v>
      </c>
      <c r="C43" s="4" t="s">
        <v>382</v>
      </c>
      <c r="D43" s="37">
        <v>-2496</v>
      </c>
      <c r="E43" s="4" t="s">
        <v>386</v>
      </c>
      <c r="F43" s="4"/>
    </row>
    <row r="44" spans="1:8" x14ac:dyDescent="0.3">
      <c r="A44" s="4" t="s">
        <v>381</v>
      </c>
      <c r="B44" s="4">
        <v>2024</v>
      </c>
      <c r="C44" s="4" t="s">
        <v>382</v>
      </c>
      <c r="D44" s="37">
        <v>143</v>
      </c>
      <c r="E44" s="4" t="s">
        <v>387</v>
      </c>
      <c r="F44" s="4"/>
    </row>
    <row r="45" spans="1:8" x14ac:dyDescent="0.3">
      <c r="A45" s="4" t="s">
        <v>381</v>
      </c>
      <c r="B45" s="4">
        <v>2025</v>
      </c>
      <c r="C45" s="4" t="s">
        <v>382</v>
      </c>
      <c r="D45" s="37">
        <v>1327</v>
      </c>
      <c r="E45" s="4" t="s">
        <v>387</v>
      </c>
      <c r="F45" s="4"/>
    </row>
    <row r="46" spans="1:8" x14ac:dyDescent="0.3">
      <c r="A46" s="4" t="s">
        <v>388</v>
      </c>
      <c r="B46" s="4">
        <v>2021</v>
      </c>
      <c r="C46" s="4" t="s">
        <v>389</v>
      </c>
      <c r="D46" s="37">
        <v>-992</v>
      </c>
      <c r="E46" s="4" t="s">
        <v>390</v>
      </c>
      <c r="F46" s="4"/>
    </row>
    <row r="47" spans="1:8" x14ac:dyDescent="0.3">
      <c r="A47" s="4" t="s">
        <v>388</v>
      </c>
      <c r="B47" s="4">
        <v>2022</v>
      </c>
      <c r="C47" s="4" t="s">
        <v>389</v>
      </c>
      <c r="D47" s="37">
        <v>-1819</v>
      </c>
      <c r="E47" s="4" t="s">
        <v>391</v>
      </c>
      <c r="F47" s="4"/>
    </row>
    <row r="48" spans="1:8" x14ac:dyDescent="0.3">
      <c r="A48" s="4" t="s">
        <v>388</v>
      </c>
      <c r="B48" s="4">
        <v>2023</v>
      </c>
      <c r="C48" s="4" t="s">
        <v>389</v>
      </c>
      <c r="D48" s="37">
        <v>-1663</v>
      </c>
      <c r="E48" s="4" t="s">
        <v>392</v>
      </c>
      <c r="F48" s="4"/>
    </row>
    <row r="49" spans="1:6" x14ac:dyDescent="0.3">
      <c r="A49" s="4" t="s">
        <v>388</v>
      </c>
      <c r="B49" s="4">
        <v>2024</v>
      </c>
      <c r="C49" s="4" t="s">
        <v>389</v>
      </c>
      <c r="D49" s="37">
        <v>-497</v>
      </c>
      <c r="E49" s="4" t="s">
        <v>392</v>
      </c>
      <c r="F49" s="4" t="s">
        <v>393</v>
      </c>
    </row>
    <row r="50" spans="1:6" x14ac:dyDescent="0.3">
      <c r="A50" s="4" t="s">
        <v>394</v>
      </c>
      <c r="B50" s="4">
        <v>2022</v>
      </c>
      <c r="C50" s="4" t="s">
        <v>395</v>
      </c>
      <c r="D50" s="37">
        <v>-1596</v>
      </c>
      <c r="E50" s="4" t="s">
        <v>396</v>
      </c>
      <c r="F50" s="4" t="s">
        <v>397</v>
      </c>
    </row>
    <row r="51" spans="1:6" x14ac:dyDescent="0.3">
      <c r="A51" s="4" t="s">
        <v>394</v>
      </c>
      <c r="B51" s="4">
        <v>2023</v>
      </c>
      <c r="C51" s="4" t="s">
        <v>395</v>
      </c>
      <c r="D51" s="37">
        <v>103</v>
      </c>
      <c r="E51" s="4" t="s">
        <v>398</v>
      </c>
      <c r="F51" s="4"/>
    </row>
    <row r="52" spans="1:6" x14ac:dyDescent="0.3">
      <c r="A52" s="4" t="s">
        <v>394</v>
      </c>
      <c r="B52" s="4">
        <v>2024</v>
      </c>
      <c r="C52" s="4" t="s">
        <v>395</v>
      </c>
      <c r="D52" s="37">
        <v>677</v>
      </c>
      <c r="E52" s="4" t="s">
        <v>398</v>
      </c>
      <c r="F52" s="4"/>
    </row>
    <row r="53" spans="1:6" x14ac:dyDescent="0.3">
      <c r="A53" s="4" t="s">
        <v>394</v>
      </c>
      <c r="B53" s="4">
        <v>2025</v>
      </c>
      <c r="C53" s="4" t="s">
        <v>395</v>
      </c>
      <c r="D53" s="37">
        <v>1370</v>
      </c>
      <c r="E53" s="4" t="s">
        <v>398</v>
      </c>
      <c r="F53" s="4"/>
    </row>
    <row r="55" spans="1:6" x14ac:dyDescent="0.3">
      <c r="A55" s="8" t="s">
        <v>399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9"/>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14" customWidth="1"/>
    <col min="2" max="2" width="18" customWidth="1"/>
    <col min="3" max="3" width="45" customWidth="1"/>
    <col min="4" max="4" width="60" customWidth="1"/>
    <col min="5" max="5" width="70" customWidth="1"/>
    <col min="6" max="7" width="24" customWidth="1"/>
  </cols>
  <sheetData>
    <row r="1" spans="1:7" ht="18" x14ac:dyDescent="0.35">
      <c r="A1" s="1" t="s">
        <v>400</v>
      </c>
    </row>
    <row r="2" spans="1:7" x14ac:dyDescent="0.3">
      <c r="A2" s="2" t="s">
        <v>401</v>
      </c>
    </row>
    <row r="4" spans="1:7" x14ac:dyDescent="0.3">
      <c r="A4" s="40" t="s">
        <v>402</v>
      </c>
      <c r="B4" s="40" t="s">
        <v>403</v>
      </c>
      <c r="C4" s="40" t="s">
        <v>404</v>
      </c>
      <c r="D4" s="40" t="s">
        <v>405</v>
      </c>
      <c r="E4" s="40" t="s">
        <v>406</v>
      </c>
      <c r="F4" s="40" t="s">
        <v>407</v>
      </c>
      <c r="G4" s="40" t="s">
        <v>408</v>
      </c>
    </row>
    <row r="5" spans="1:7" ht="51" x14ac:dyDescent="0.3">
      <c r="A5" s="41" t="s">
        <v>38</v>
      </c>
      <c r="B5" s="41" t="s">
        <v>409</v>
      </c>
      <c r="C5" s="42" t="s">
        <v>410</v>
      </c>
      <c r="D5" s="41" t="s">
        <v>411</v>
      </c>
      <c r="E5" s="43" t="s">
        <v>412</v>
      </c>
      <c r="F5" s="41" t="s">
        <v>413</v>
      </c>
      <c r="G5" s="43" t="s">
        <v>414</v>
      </c>
    </row>
    <row r="6" spans="1:7" ht="51" x14ac:dyDescent="0.3">
      <c r="A6" s="41" t="s">
        <v>415</v>
      </c>
      <c r="B6" s="41" t="s">
        <v>416</v>
      </c>
      <c r="C6" s="42" t="s">
        <v>417</v>
      </c>
      <c r="D6" s="41" t="s">
        <v>418</v>
      </c>
      <c r="E6" s="43" t="s">
        <v>419</v>
      </c>
      <c r="F6" s="41" t="s">
        <v>420</v>
      </c>
      <c r="G6" s="43" t="s">
        <v>421</v>
      </c>
    </row>
    <row r="7" spans="1:7" ht="51" x14ac:dyDescent="0.3">
      <c r="A7" s="41" t="s">
        <v>422</v>
      </c>
      <c r="B7" s="41" t="s">
        <v>423</v>
      </c>
      <c r="C7" s="42" t="s">
        <v>424</v>
      </c>
      <c r="D7" s="41" t="s">
        <v>425</v>
      </c>
      <c r="E7" s="43" t="s">
        <v>426</v>
      </c>
      <c r="F7" s="41" t="s">
        <v>427</v>
      </c>
      <c r="G7" s="43" t="s">
        <v>428</v>
      </c>
    </row>
    <row r="8" spans="1:7" ht="51" x14ac:dyDescent="0.3">
      <c r="A8" s="41" t="s">
        <v>429</v>
      </c>
      <c r="B8" s="41" t="s">
        <v>430</v>
      </c>
      <c r="C8" s="42" t="s">
        <v>431</v>
      </c>
      <c r="D8" s="41" t="s">
        <v>432</v>
      </c>
      <c r="E8" s="43" t="s">
        <v>433</v>
      </c>
      <c r="F8" s="41" t="s">
        <v>434</v>
      </c>
      <c r="G8" s="43" t="s">
        <v>435</v>
      </c>
    </row>
    <row r="9" spans="1:7" ht="51" x14ac:dyDescent="0.3">
      <c r="A9" s="41" t="s">
        <v>436</v>
      </c>
      <c r="B9" s="41" t="s">
        <v>437</v>
      </c>
      <c r="C9" s="42" t="s">
        <v>438</v>
      </c>
      <c r="D9" s="41" t="s">
        <v>439</v>
      </c>
      <c r="E9" s="43" t="s">
        <v>440</v>
      </c>
      <c r="F9" s="41" t="s">
        <v>441</v>
      </c>
      <c r="G9" s="43" t="s">
        <v>442</v>
      </c>
    </row>
    <row r="10" spans="1:7" ht="51" x14ac:dyDescent="0.3">
      <c r="A10" s="41" t="s">
        <v>48</v>
      </c>
      <c r="B10" s="41" t="s">
        <v>202</v>
      </c>
      <c r="C10" s="42" t="s">
        <v>443</v>
      </c>
      <c r="D10" s="41" t="s">
        <v>444</v>
      </c>
      <c r="E10" s="43" t="s">
        <v>445</v>
      </c>
      <c r="F10" s="41" t="s">
        <v>441</v>
      </c>
      <c r="G10" s="43" t="s">
        <v>442</v>
      </c>
    </row>
    <row r="11" spans="1:7" ht="69" x14ac:dyDescent="0.3">
      <c r="A11" s="41" t="s">
        <v>446</v>
      </c>
      <c r="B11" s="41" t="s">
        <v>198</v>
      </c>
      <c r="C11" s="42" t="s">
        <v>447</v>
      </c>
      <c r="D11" s="41" t="s">
        <v>448</v>
      </c>
      <c r="E11" s="43" t="s">
        <v>449</v>
      </c>
      <c r="F11" s="41" t="s">
        <v>450</v>
      </c>
      <c r="G11" s="43" t="s">
        <v>451</v>
      </c>
    </row>
    <row r="12" spans="1:7" ht="51" x14ac:dyDescent="0.3">
      <c r="A12" s="41" t="s">
        <v>244</v>
      </c>
      <c r="B12" s="41" t="s">
        <v>409</v>
      </c>
      <c r="C12" s="42" t="s">
        <v>452</v>
      </c>
      <c r="D12" s="41" t="s">
        <v>453</v>
      </c>
      <c r="E12" s="43" t="s">
        <v>454</v>
      </c>
      <c r="F12" s="41" t="s">
        <v>455</v>
      </c>
      <c r="G12" s="43" t="s">
        <v>456</v>
      </c>
    </row>
    <row r="13" spans="1:7" ht="51" x14ac:dyDescent="0.3">
      <c r="A13" s="41" t="s">
        <v>457</v>
      </c>
      <c r="B13" s="41" t="s">
        <v>223</v>
      </c>
      <c r="C13" s="42" t="s">
        <v>458</v>
      </c>
      <c r="D13" s="41" t="s">
        <v>459</v>
      </c>
      <c r="E13" s="43" t="s">
        <v>460</v>
      </c>
      <c r="F13" s="41" t="s">
        <v>455</v>
      </c>
      <c r="G13" s="43" t="s">
        <v>456</v>
      </c>
    </row>
    <row r="14" spans="1:7" ht="41.4" x14ac:dyDescent="0.3">
      <c r="A14" s="41" t="s">
        <v>461</v>
      </c>
      <c r="B14" s="41" t="s">
        <v>462</v>
      </c>
      <c r="C14" s="42" t="s">
        <v>463</v>
      </c>
      <c r="D14" s="41" t="s">
        <v>464</v>
      </c>
      <c r="E14" s="43" t="s">
        <v>465</v>
      </c>
      <c r="F14" s="41" t="s">
        <v>466</v>
      </c>
      <c r="G14" s="43" t="s">
        <v>467</v>
      </c>
    </row>
    <row r="15" spans="1:7" ht="51" x14ac:dyDescent="0.3">
      <c r="A15" s="41" t="s">
        <v>59</v>
      </c>
      <c r="B15" s="41" t="s">
        <v>423</v>
      </c>
      <c r="C15" s="42" t="s">
        <v>468</v>
      </c>
      <c r="D15" s="41" t="s">
        <v>469</v>
      </c>
      <c r="E15" s="43" t="s">
        <v>470</v>
      </c>
      <c r="F15" s="41" t="s">
        <v>471</v>
      </c>
      <c r="G15" s="43" t="s">
        <v>472</v>
      </c>
    </row>
    <row r="16" spans="1:7" ht="51" x14ac:dyDescent="0.3">
      <c r="A16" s="41" t="s">
        <v>61</v>
      </c>
      <c r="B16" s="41" t="s">
        <v>473</v>
      </c>
      <c r="C16" s="42" t="s">
        <v>474</v>
      </c>
      <c r="D16" s="41" t="s">
        <v>475</v>
      </c>
      <c r="E16" s="43" t="s">
        <v>476</v>
      </c>
      <c r="F16" s="41" t="s">
        <v>477</v>
      </c>
      <c r="G16" s="43" t="s">
        <v>478</v>
      </c>
    </row>
    <row r="17" spans="1:7" ht="51" x14ac:dyDescent="0.3">
      <c r="A17" s="41" t="s">
        <v>62</v>
      </c>
      <c r="B17" s="41" t="s">
        <v>251</v>
      </c>
      <c r="C17" s="42" t="s">
        <v>479</v>
      </c>
      <c r="D17" s="41" t="s">
        <v>480</v>
      </c>
      <c r="E17" s="43" t="s">
        <v>481</v>
      </c>
      <c r="F17" s="41" t="s">
        <v>482</v>
      </c>
      <c r="G17" s="43" t="s">
        <v>483</v>
      </c>
    </row>
    <row r="18" spans="1:7" ht="82.8" x14ac:dyDescent="0.3">
      <c r="A18" s="41" t="s">
        <v>484</v>
      </c>
      <c r="B18" s="41" t="s">
        <v>485</v>
      </c>
      <c r="C18" s="42" t="s">
        <v>486</v>
      </c>
      <c r="D18" s="41" t="s">
        <v>487</v>
      </c>
      <c r="E18" s="43"/>
      <c r="F18" s="41" t="s">
        <v>488</v>
      </c>
      <c r="G18" s="43"/>
    </row>
    <row r="19" spans="1:7" ht="51" x14ac:dyDescent="0.3">
      <c r="A19" s="41" t="s">
        <v>489</v>
      </c>
      <c r="B19" s="41" t="s">
        <v>430</v>
      </c>
      <c r="C19" s="42" t="s">
        <v>490</v>
      </c>
      <c r="D19" s="41" t="s">
        <v>491</v>
      </c>
      <c r="E19" s="43" t="s">
        <v>492</v>
      </c>
      <c r="F19" s="41" t="s">
        <v>493</v>
      </c>
      <c r="G19" s="43" t="s">
        <v>494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6"/>
  <sheetViews>
    <sheetView showGridLines="0" workbookViewId="0"/>
  </sheetViews>
  <sheetFormatPr defaultRowHeight="14.4" x14ac:dyDescent="0.3"/>
  <cols>
    <col min="1" max="1" width="110" customWidth="1"/>
    <col min="2" max="2" width="14" customWidth="1"/>
  </cols>
  <sheetData>
    <row r="1" spans="1:3" ht="18" x14ac:dyDescent="0.35">
      <c r="A1" s="1" t="s">
        <v>495</v>
      </c>
    </row>
    <row r="2" spans="1:3" x14ac:dyDescent="0.3">
      <c r="A2" s="2" t="s">
        <v>496</v>
      </c>
    </row>
    <row r="4" spans="1:3" x14ac:dyDescent="0.3">
      <c r="A4" s="40" t="s">
        <v>497</v>
      </c>
      <c r="B4" s="40" t="s">
        <v>498</v>
      </c>
      <c r="C4" s="40" t="s">
        <v>499</v>
      </c>
    </row>
    <row r="5" spans="1:3" x14ac:dyDescent="0.3">
      <c r="A5" s="4" t="s">
        <v>500</v>
      </c>
      <c r="B5" s="44">
        <f>MAX(MAX(DRE!$C$22:$AF$22),-MIN(DRE!$C$22:$AF$22))</f>
        <v>0</v>
      </c>
      <c r="C5" s="3" t="str">
        <f t="shared" ref="C5:C12" si="0">IF(B5&lt;=1,"OK","VERIFICAR")</f>
        <v>OK</v>
      </c>
    </row>
    <row r="6" spans="1:3" x14ac:dyDescent="0.3">
      <c r="A6" s="4" t="s">
        <v>501</v>
      </c>
      <c r="B6" s="44">
        <f>MAX(MAX(DRE!$C$23:$AF$23),-MIN(DRE!$C$23:$AF$23))</f>
        <v>0</v>
      </c>
      <c r="C6" s="3" t="str">
        <f t="shared" si="0"/>
        <v>OK</v>
      </c>
    </row>
    <row r="7" spans="1:3" x14ac:dyDescent="0.3">
      <c r="A7" s="4" t="s">
        <v>502</v>
      </c>
      <c r="B7" s="44">
        <f>MAX(MAX(DRE!$C$24:$AF$24),-MIN(DRE!$C$24:$AF$24))</f>
        <v>0</v>
      </c>
      <c r="C7" s="3" t="str">
        <f t="shared" si="0"/>
        <v>OK</v>
      </c>
    </row>
    <row r="8" spans="1:3" x14ac:dyDescent="0.3">
      <c r="A8" s="4" t="s">
        <v>503</v>
      </c>
      <c r="B8" s="44">
        <f>MAX(MAX(BP!$C$35:$AF$35),-MIN(BP!$C$35:$AF$35))</f>
        <v>0</v>
      </c>
      <c r="C8" s="3" t="str">
        <f t="shared" si="0"/>
        <v>OK</v>
      </c>
    </row>
    <row r="9" spans="1:3" x14ac:dyDescent="0.3">
      <c r="A9" s="4" t="s">
        <v>504</v>
      </c>
      <c r="B9" s="44">
        <f>MAX(MAX(BP!$C$36:$AF$36),-MIN(BP!$C$36:$AF$36))</f>
        <v>0</v>
      </c>
      <c r="C9" s="3" t="str">
        <f t="shared" si="0"/>
        <v>OK</v>
      </c>
    </row>
    <row r="10" spans="1:3" x14ac:dyDescent="0.3">
      <c r="A10" s="4" t="s">
        <v>505</v>
      </c>
      <c r="B10" s="44">
        <f>MAX(MAX(BP!$C$37:$AF$37),-MIN(BP!$C$37:$AF$37))</f>
        <v>0.63299999999981083</v>
      </c>
      <c r="C10" s="3" t="str">
        <f t="shared" si="0"/>
        <v>OK</v>
      </c>
    </row>
    <row r="11" spans="1:3" x14ac:dyDescent="0.3">
      <c r="A11" s="4" t="s">
        <v>506</v>
      </c>
      <c r="B11" s="44">
        <f>MAX(MAX(BP!$C$38:$AF$38),-MIN(BP!$C$38:$AF$38))</f>
        <v>0.25999999999839929</v>
      </c>
      <c r="C11" s="3" t="str">
        <f t="shared" si="0"/>
        <v>OK</v>
      </c>
    </row>
    <row r="12" spans="1:3" x14ac:dyDescent="0.3">
      <c r="A12" s="4" t="s">
        <v>507</v>
      </c>
      <c r="B12" s="44">
        <f>MAX(MAX(Indicadores!$C$39:$AF$39),-MIN(Indicadores!$C$39:$AF$39))</f>
        <v>0</v>
      </c>
      <c r="C12" s="3" t="str">
        <f t="shared" si="0"/>
        <v>OK</v>
      </c>
    </row>
    <row r="14" spans="1:3" x14ac:dyDescent="0.3">
      <c r="A14" s="3" t="s">
        <v>508</v>
      </c>
    </row>
    <row r="15" spans="1:3" x14ac:dyDescent="0.3">
      <c r="A15" s="8"/>
    </row>
    <row r="16" spans="1:3" x14ac:dyDescent="0.3">
      <c r="A16" s="3" t="s">
        <v>509</v>
      </c>
    </row>
    <row r="17" spans="1:1" x14ac:dyDescent="0.3">
      <c r="A17" s="8" t="s">
        <v>510</v>
      </c>
    </row>
    <row r="18" spans="1:1" x14ac:dyDescent="0.3">
      <c r="A18" s="8" t="s">
        <v>511</v>
      </c>
    </row>
    <row r="19" spans="1:1" x14ac:dyDescent="0.3">
      <c r="A19" s="8" t="s">
        <v>512</v>
      </c>
    </row>
    <row r="20" spans="1:1" x14ac:dyDescent="0.3">
      <c r="A20" s="8" t="s">
        <v>513</v>
      </c>
    </row>
    <row r="21" spans="1:1" x14ac:dyDescent="0.3">
      <c r="A21" s="8" t="s">
        <v>514</v>
      </c>
    </row>
    <row r="22" spans="1:1" x14ac:dyDescent="0.3">
      <c r="A22" s="8" t="s">
        <v>515</v>
      </c>
    </row>
    <row r="23" spans="1:1" x14ac:dyDescent="0.3">
      <c r="A23" s="8" t="s">
        <v>516</v>
      </c>
    </row>
    <row r="24" spans="1:1" x14ac:dyDescent="0.3">
      <c r="A24" s="8" t="s">
        <v>517</v>
      </c>
    </row>
    <row r="25" spans="1:1" x14ac:dyDescent="0.3">
      <c r="A25" s="8" t="s">
        <v>518</v>
      </c>
    </row>
    <row r="26" spans="1:1" x14ac:dyDescent="0.3">
      <c r="A26" s="8"/>
    </row>
    <row r="27" spans="1:1" x14ac:dyDescent="0.3">
      <c r="A27" s="3" t="s">
        <v>519</v>
      </c>
    </row>
    <row r="28" spans="1:1" x14ac:dyDescent="0.3">
      <c r="A28" s="8" t="s">
        <v>520</v>
      </c>
    </row>
    <row r="29" spans="1:1" x14ac:dyDescent="0.3">
      <c r="A29" s="8" t="s">
        <v>521</v>
      </c>
    </row>
    <row r="30" spans="1:1" x14ac:dyDescent="0.3">
      <c r="A30" s="8" t="s">
        <v>522</v>
      </c>
    </row>
    <row r="31" spans="1:1" x14ac:dyDescent="0.3">
      <c r="A31" s="8" t="s">
        <v>523</v>
      </c>
    </row>
    <row r="32" spans="1:1" x14ac:dyDescent="0.3">
      <c r="A32" s="8" t="s">
        <v>524</v>
      </c>
    </row>
    <row r="33" spans="1:1" x14ac:dyDescent="0.3">
      <c r="A33" s="8"/>
    </row>
    <row r="34" spans="1:1" x14ac:dyDescent="0.3">
      <c r="A34" s="3" t="s">
        <v>525</v>
      </c>
    </row>
    <row r="35" spans="1:1" x14ac:dyDescent="0.3">
      <c r="A35" s="8" t="s">
        <v>526</v>
      </c>
    </row>
    <row r="36" spans="1:1" x14ac:dyDescent="0.3">
      <c r="A36" s="8" t="s">
        <v>527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7"/>
  <sheetViews>
    <sheetView showGridLines="0" workbookViewId="0"/>
  </sheetViews>
  <sheetFormatPr defaultRowHeight="14.4" x14ac:dyDescent="0.3"/>
  <cols>
    <col min="1" max="2" width="12" customWidth="1"/>
    <col min="3" max="3" width="14" customWidth="1"/>
    <col min="4" max="4" width="24" customWidth="1"/>
    <col min="5" max="5" width="100" customWidth="1"/>
  </cols>
  <sheetData>
    <row r="1" spans="1:5" ht="18" x14ac:dyDescent="0.35">
      <c r="A1" s="1" t="s">
        <v>528</v>
      </c>
    </row>
    <row r="3" spans="1:5" x14ac:dyDescent="0.3">
      <c r="A3" s="40" t="s">
        <v>529</v>
      </c>
      <c r="B3" s="40" t="s">
        <v>530</v>
      </c>
      <c r="C3" s="40" t="s">
        <v>531</v>
      </c>
      <c r="D3" s="40" t="s">
        <v>532</v>
      </c>
      <c r="E3" s="40" t="s">
        <v>533</v>
      </c>
    </row>
    <row r="4" spans="1:5" x14ac:dyDescent="0.3">
      <c r="A4" s="4" t="s">
        <v>534</v>
      </c>
      <c r="B4" s="4" t="s">
        <v>535</v>
      </c>
      <c r="C4" s="4" t="s">
        <v>536</v>
      </c>
      <c r="D4" s="4" t="s">
        <v>537</v>
      </c>
      <c r="E4" s="4" t="s">
        <v>538</v>
      </c>
    </row>
    <row r="5" spans="1:5" x14ac:dyDescent="0.3">
      <c r="A5" s="4" t="s">
        <v>534</v>
      </c>
      <c r="B5" s="4" t="s">
        <v>539</v>
      </c>
      <c r="C5" s="4" t="s">
        <v>540</v>
      </c>
      <c r="D5" s="4" t="s">
        <v>541</v>
      </c>
      <c r="E5" s="4" t="s">
        <v>542</v>
      </c>
    </row>
    <row r="6" spans="1:5" x14ac:dyDescent="0.3">
      <c r="A6" s="4" t="s">
        <v>534</v>
      </c>
      <c r="B6" s="4" t="s">
        <v>543</v>
      </c>
      <c r="C6" s="4" t="s">
        <v>544</v>
      </c>
      <c r="D6" s="4" t="s">
        <v>545</v>
      </c>
      <c r="E6" s="4" t="s">
        <v>546</v>
      </c>
    </row>
    <row r="7" spans="1:5" x14ac:dyDescent="0.3">
      <c r="A7" s="4" t="s">
        <v>547</v>
      </c>
      <c r="B7" s="4" t="s">
        <v>548</v>
      </c>
      <c r="C7" s="4" t="s">
        <v>549</v>
      </c>
      <c r="D7" s="4" t="s">
        <v>550</v>
      </c>
      <c r="E7" s="4" t="s">
        <v>551</v>
      </c>
    </row>
    <row r="8" spans="1:5" x14ac:dyDescent="0.3">
      <c r="A8" s="4" t="s">
        <v>534</v>
      </c>
      <c r="B8" s="4" t="s">
        <v>552</v>
      </c>
      <c r="C8" s="4" t="s">
        <v>553</v>
      </c>
      <c r="D8" s="4" t="s">
        <v>554</v>
      </c>
      <c r="E8" s="4" t="s">
        <v>555</v>
      </c>
    </row>
    <row r="9" spans="1:5" x14ac:dyDescent="0.3">
      <c r="A9" s="4" t="s">
        <v>534</v>
      </c>
      <c r="B9" s="4" t="s">
        <v>556</v>
      </c>
      <c r="C9" s="4" t="s">
        <v>557</v>
      </c>
      <c r="D9" s="4" t="s">
        <v>558</v>
      </c>
      <c r="E9" s="4" t="s">
        <v>559</v>
      </c>
    </row>
    <row r="10" spans="1:5" x14ac:dyDescent="0.3">
      <c r="A10" s="4" t="s">
        <v>534</v>
      </c>
      <c r="B10" s="4" t="s">
        <v>560</v>
      </c>
      <c r="C10" s="4" t="s">
        <v>561</v>
      </c>
      <c r="D10" s="4" t="s">
        <v>562</v>
      </c>
      <c r="E10" s="4" t="s">
        <v>563</v>
      </c>
    </row>
    <row r="11" spans="1:5" x14ac:dyDescent="0.3">
      <c r="A11" s="4" t="s">
        <v>547</v>
      </c>
      <c r="B11" s="4" t="s">
        <v>564</v>
      </c>
      <c r="C11" s="4" t="s">
        <v>565</v>
      </c>
      <c r="D11" s="4" t="s">
        <v>566</v>
      </c>
      <c r="E11" s="4" t="s">
        <v>567</v>
      </c>
    </row>
    <row r="12" spans="1:5" x14ac:dyDescent="0.3">
      <c r="A12" s="4" t="s">
        <v>534</v>
      </c>
      <c r="B12" s="4" t="s">
        <v>568</v>
      </c>
      <c r="C12" s="4" t="s">
        <v>569</v>
      </c>
      <c r="D12" s="4" t="s">
        <v>570</v>
      </c>
      <c r="E12" s="4" t="s">
        <v>571</v>
      </c>
    </row>
    <row r="13" spans="1:5" x14ac:dyDescent="0.3">
      <c r="A13" s="4" t="s">
        <v>534</v>
      </c>
      <c r="B13" s="4" t="s">
        <v>572</v>
      </c>
      <c r="C13" s="4" t="s">
        <v>573</v>
      </c>
      <c r="D13" s="4" t="s">
        <v>574</v>
      </c>
      <c r="E13" s="4" t="s">
        <v>575</v>
      </c>
    </row>
    <row r="14" spans="1:5" x14ac:dyDescent="0.3">
      <c r="A14" s="4" t="s">
        <v>534</v>
      </c>
      <c r="B14" s="4" t="s">
        <v>576</v>
      </c>
      <c r="C14" s="4" t="s">
        <v>577</v>
      </c>
      <c r="D14" s="4" t="s">
        <v>578</v>
      </c>
      <c r="E14" s="4" t="s">
        <v>579</v>
      </c>
    </row>
    <row r="15" spans="1:5" x14ac:dyDescent="0.3">
      <c r="A15" s="4" t="s">
        <v>547</v>
      </c>
      <c r="B15" s="4" t="s">
        <v>580</v>
      </c>
      <c r="C15" s="4" t="s">
        <v>581</v>
      </c>
      <c r="D15" s="4" t="s">
        <v>421</v>
      </c>
      <c r="E15" s="4" t="s">
        <v>582</v>
      </c>
    </row>
    <row r="16" spans="1:5" x14ac:dyDescent="0.3">
      <c r="A16" s="4" t="s">
        <v>534</v>
      </c>
      <c r="B16" s="4" t="s">
        <v>583</v>
      </c>
      <c r="C16" s="4" t="s">
        <v>584</v>
      </c>
      <c r="D16" s="4" t="s">
        <v>585</v>
      </c>
      <c r="E16" s="4" t="s">
        <v>586</v>
      </c>
    </row>
    <row r="17" spans="1:5" x14ac:dyDescent="0.3">
      <c r="A17" s="4" t="s">
        <v>534</v>
      </c>
      <c r="B17" s="4" t="s">
        <v>587</v>
      </c>
      <c r="C17" s="4" t="s">
        <v>588</v>
      </c>
      <c r="D17" s="4" t="s">
        <v>589</v>
      </c>
      <c r="E17" s="4" t="s">
        <v>590</v>
      </c>
    </row>
    <row r="18" spans="1:5" x14ac:dyDescent="0.3">
      <c r="A18" s="4" t="s">
        <v>534</v>
      </c>
      <c r="B18" s="4" t="s">
        <v>591</v>
      </c>
      <c r="C18" s="4" t="s">
        <v>592</v>
      </c>
      <c r="D18" s="4" t="s">
        <v>593</v>
      </c>
      <c r="E18" s="4" t="s">
        <v>594</v>
      </c>
    </row>
    <row r="19" spans="1:5" x14ac:dyDescent="0.3">
      <c r="A19" s="4" t="s">
        <v>547</v>
      </c>
      <c r="B19" s="4" t="s">
        <v>595</v>
      </c>
      <c r="C19" s="4" t="s">
        <v>596</v>
      </c>
      <c r="D19" s="4" t="s">
        <v>451</v>
      </c>
      <c r="E19" s="4" t="s">
        <v>597</v>
      </c>
    </row>
    <row r="20" spans="1:5" x14ac:dyDescent="0.3">
      <c r="A20" s="4" t="s">
        <v>534</v>
      </c>
      <c r="B20" s="4" t="s">
        <v>598</v>
      </c>
      <c r="C20" s="4" t="s">
        <v>599</v>
      </c>
      <c r="D20" s="4" t="s">
        <v>600</v>
      </c>
      <c r="E20" s="4" t="s">
        <v>601</v>
      </c>
    </row>
    <row r="21" spans="1:5" x14ac:dyDescent="0.3">
      <c r="A21" s="4" t="s">
        <v>534</v>
      </c>
      <c r="B21" s="4" t="s">
        <v>602</v>
      </c>
      <c r="C21" s="4" t="s">
        <v>603</v>
      </c>
      <c r="D21" s="4" t="s">
        <v>604</v>
      </c>
      <c r="E21" s="4" t="s">
        <v>605</v>
      </c>
    </row>
    <row r="22" spans="1:5" x14ac:dyDescent="0.3">
      <c r="A22" s="4" t="s">
        <v>534</v>
      </c>
      <c r="B22" s="4" t="s">
        <v>606</v>
      </c>
      <c r="C22" s="4" t="s">
        <v>607</v>
      </c>
      <c r="D22" s="4" t="s">
        <v>608</v>
      </c>
      <c r="E22" s="4" t="s">
        <v>609</v>
      </c>
    </row>
    <row r="23" spans="1:5" x14ac:dyDescent="0.3">
      <c r="A23" s="4" t="s">
        <v>547</v>
      </c>
      <c r="B23" s="4" t="s">
        <v>610</v>
      </c>
      <c r="C23" s="4" t="s">
        <v>611</v>
      </c>
      <c r="D23" s="4" t="s">
        <v>456</v>
      </c>
      <c r="E23" s="4" t="s">
        <v>612</v>
      </c>
    </row>
    <row r="24" spans="1:5" x14ac:dyDescent="0.3">
      <c r="A24" s="4" t="s">
        <v>534</v>
      </c>
      <c r="B24" s="4" t="s">
        <v>613</v>
      </c>
      <c r="C24" s="4" t="s">
        <v>614</v>
      </c>
      <c r="D24" s="4" t="s">
        <v>615</v>
      </c>
      <c r="E24" s="4" t="s">
        <v>616</v>
      </c>
    </row>
    <row r="25" spans="1:5" x14ac:dyDescent="0.3">
      <c r="A25" s="4" t="s">
        <v>534</v>
      </c>
      <c r="B25" s="4" t="s">
        <v>617</v>
      </c>
      <c r="C25" s="4" t="s">
        <v>618</v>
      </c>
      <c r="D25" s="4" t="s">
        <v>619</v>
      </c>
      <c r="E25" s="4" t="s">
        <v>620</v>
      </c>
    </row>
    <row r="26" spans="1:5" x14ac:dyDescent="0.3">
      <c r="A26" s="4" t="s">
        <v>534</v>
      </c>
      <c r="B26" s="4" t="s">
        <v>621</v>
      </c>
      <c r="C26" s="4" t="s">
        <v>622</v>
      </c>
      <c r="D26" s="4" t="s">
        <v>623</v>
      </c>
      <c r="E26" s="4" t="s">
        <v>624</v>
      </c>
    </row>
    <row r="27" spans="1:5" x14ac:dyDescent="0.3">
      <c r="A27" s="4" t="s">
        <v>547</v>
      </c>
      <c r="B27" s="4" t="s">
        <v>625</v>
      </c>
      <c r="C27" s="4" t="s">
        <v>626</v>
      </c>
      <c r="D27" s="4" t="s">
        <v>627</v>
      </c>
      <c r="E27" s="4" t="s">
        <v>628</v>
      </c>
    </row>
    <row r="28" spans="1:5" x14ac:dyDescent="0.3">
      <c r="A28" s="4" t="s">
        <v>534</v>
      </c>
      <c r="B28" s="4" t="s">
        <v>629</v>
      </c>
      <c r="C28" s="4" t="s">
        <v>630</v>
      </c>
      <c r="D28" s="4" t="s">
        <v>631</v>
      </c>
      <c r="E28" s="4" t="s">
        <v>632</v>
      </c>
    </row>
    <row r="29" spans="1:5" x14ac:dyDescent="0.3">
      <c r="A29" s="4" t="s">
        <v>534</v>
      </c>
      <c r="B29" s="4" t="s">
        <v>633</v>
      </c>
      <c r="C29" s="4" t="s">
        <v>634</v>
      </c>
      <c r="D29" s="4" t="s">
        <v>635</v>
      </c>
      <c r="E29" s="4" t="s">
        <v>636</v>
      </c>
    </row>
    <row r="30" spans="1:5" x14ac:dyDescent="0.3">
      <c r="A30" s="4" t="s">
        <v>534</v>
      </c>
      <c r="B30" s="4" t="s">
        <v>637</v>
      </c>
      <c r="C30" s="4" t="s">
        <v>638</v>
      </c>
      <c r="D30" s="4" t="s">
        <v>639</v>
      </c>
      <c r="E30" s="4" t="s">
        <v>640</v>
      </c>
    </row>
    <row r="31" spans="1:5" x14ac:dyDescent="0.3">
      <c r="A31" s="4" t="s">
        <v>547</v>
      </c>
      <c r="B31" s="4" t="s">
        <v>641</v>
      </c>
      <c r="C31" s="4" t="s">
        <v>642</v>
      </c>
      <c r="D31" s="4" t="s">
        <v>643</v>
      </c>
      <c r="E31" s="4" t="s">
        <v>644</v>
      </c>
    </row>
    <row r="32" spans="1:5" x14ac:dyDescent="0.3">
      <c r="A32" s="4" t="s">
        <v>534</v>
      </c>
      <c r="B32" s="4" t="s">
        <v>645</v>
      </c>
      <c r="C32" s="4" t="s">
        <v>646</v>
      </c>
      <c r="D32" s="4" t="s">
        <v>478</v>
      </c>
      <c r="E32" s="4" t="s">
        <v>647</v>
      </c>
    </row>
    <row r="33" spans="1:5" x14ac:dyDescent="0.3">
      <c r="A33" s="4" t="s">
        <v>534</v>
      </c>
      <c r="B33" s="4" t="s">
        <v>648</v>
      </c>
      <c r="C33" s="4" t="s">
        <v>649</v>
      </c>
      <c r="D33" s="4" t="s">
        <v>650</v>
      </c>
      <c r="E33" s="4" t="s">
        <v>651</v>
      </c>
    </row>
    <row r="35" spans="1:5" x14ac:dyDescent="0.3">
      <c r="A35" s="8" t="s">
        <v>652</v>
      </c>
    </row>
    <row r="36" spans="1:5" x14ac:dyDescent="0.3">
      <c r="A36" s="8" t="s">
        <v>653</v>
      </c>
    </row>
    <row r="37" spans="1:5" x14ac:dyDescent="0.3">
      <c r="A37" s="8" t="s">
        <v>654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LEIA-ME</vt:lpstr>
      <vt:lpstr>Graficos</vt:lpstr>
      <vt:lpstr>DRE</vt:lpstr>
      <vt:lpstr>BP</vt:lpstr>
      <vt:lpstr>DFC</vt:lpstr>
      <vt:lpstr>AV</vt:lpstr>
      <vt:lpstr>AH</vt:lpstr>
      <vt:lpstr>AH_Anual</vt:lpstr>
      <vt:lpstr>Indicadores</vt:lpstr>
      <vt:lpstr>Regioes</vt:lpstr>
      <vt:lpstr>Macro</vt:lpstr>
      <vt:lpstr>Setor</vt:lpstr>
      <vt:lpstr>Variacoes_Bruscas</vt:lpstr>
      <vt:lpstr>Validacao</vt:lpstr>
      <vt:lpstr>Fontes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Braga</cp:lastModifiedBy>
  <dcterms:created xsi:type="dcterms:W3CDTF">2026-10-19T15:01:34Z</dcterms:created>
  <dcterms:modified xsi:type="dcterms:W3CDTF">2026-10-19T15:01:52Z</dcterms:modified>
</cp:coreProperties>
</file>